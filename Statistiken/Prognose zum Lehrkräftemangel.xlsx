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DieseArbeitsmappe" defaultThemeVersion="124226"/>
  <mc:AlternateContent xmlns:mc="http://schemas.openxmlformats.org/markup-compatibility/2006">
    <mc:Choice Requires="x15">
      <x15ac:absPath xmlns:x15ac="http://schemas.microsoft.com/office/spreadsheetml/2010/11/ac" url="K:\AbtIV\RefIVC\Schule\Arbeitsergebnisse\Dokumente\SKL\2024\"/>
    </mc:Choice>
  </mc:AlternateContent>
  <xr:revisionPtr revIDLastSave="0" documentId="13_ncr:1_{CC731098-D9EE-4745-ACB5-B8AFC9B42849}" xr6:coauthVersionLast="47" xr6:coauthVersionMax="47" xr10:uidLastSave="{00000000-0000-0000-0000-000000000000}"/>
  <bookViews>
    <workbookView xWindow="-28920" yWindow="-120" windowWidth="29040" windowHeight="15720" tabRatio="849" xr2:uid="{00000000-000D-0000-FFFF-FFFF00000000}"/>
  </bookViews>
  <sheets>
    <sheet name="Deckblatt" sheetId="27" r:id="rId1"/>
    <sheet name="Gliederung SKL" sheetId="26" r:id="rId2"/>
    <sheet name="Leer" sheetId="28" r:id="rId3"/>
    <sheet name="Z1" sheetId="2" r:id="rId4"/>
    <sheet name="Leer 2" sheetId="29" r:id="rId5"/>
    <sheet name="Inhaltsverzeichnis Z" sheetId="25" r:id="rId6"/>
    <sheet name="Z1.1" sheetId="1" r:id="rId7"/>
    <sheet name="Z1.2" sheetId="30" r:id="rId8"/>
    <sheet name="Z2.1" sheetId="4" r:id="rId9"/>
    <sheet name="Z2.2" sheetId="5" r:id="rId10"/>
    <sheet name="Z3.1" sheetId="8" r:id="rId11"/>
    <sheet name="Z3.2" sheetId="9" r:id="rId12"/>
    <sheet name="Z4.1" sheetId="10" r:id="rId13"/>
    <sheet name="Z4.2" sheetId="11" r:id="rId14"/>
    <sheet name="Z5.1" sheetId="12" r:id="rId15"/>
    <sheet name="Z5.2" sheetId="13" r:id="rId16"/>
    <sheet name="Z6.1" sheetId="14" r:id="rId17"/>
    <sheet name="Z6.2 " sheetId="15" r:id="rId18"/>
    <sheet name="Z7.1" sheetId="16" r:id="rId19"/>
    <sheet name="Z7.2" sheetId="17" r:id="rId20"/>
    <sheet name="Z8.1" sheetId="18" r:id="rId21"/>
    <sheet name="Z8.2" sheetId="19" r:id="rId22"/>
    <sheet name="Z9.1" sheetId="20" r:id="rId23"/>
    <sheet name="Z9.2" sheetId="21" r:id="rId24"/>
    <sheet name="Z10.1" sheetId="24" r:id="rId25"/>
    <sheet name="Z10.2" sheetId="23" r:id="rId26"/>
  </sheets>
  <definedNames>
    <definedName name="__C22b7">#REF!</definedName>
    <definedName name="_C22b7">#REF!</definedName>
    <definedName name="_Fill" hidden="1">#REF!</definedName>
    <definedName name="_neu">#REF!</definedName>
    <definedName name="aa">#REF!</definedName>
    <definedName name="Abf_Laender2000_Heim">#REF!</definedName>
    <definedName name="Abf_Laender2000_Heim_4">#REF!</definedName>
    <definedName name="Abf_Laender2000_Heim_5">#N/A</definedName>
    <definedName name="Abf_Laender2000_Heim_59">#N/A</definedName>
    <definedName name="bb">#REF!</definedName>
    <definedName name="DOKPROT">#REF!</definedName>
    <definedName name="DRUAU01">#REF!</definedName>
    <definedName name="DRUAU02">#REF!</definedName>
    <definedName name="DRUAU03">#REF!</definedName>
    <definedName name="DRUAU04">#REF!</definedName>
    <definedName name="DRUAU04A">#REF!</definedName>
    <definedName name="DRUAU05">#REF!</definedName>
    <definedName name="DRUAU06">#REF!</definedName>
    <definedName name="DRUAU06A">#REF!</definedName>
    <definedName name="druau5">#REF!</definedName>
    <definedName name="DRUCK01">#REF!</definedName>
    <definedName name="DRUCK010">#REF!</definedName>
    <definedName name="DRUCK02">#REF!</definedName>
    <definedName name="DRUCK03">#REF!</definedName>
    <definedName name="DRUCK04">#REF!</definedName>
    <definedName name="DRUCK05">#REF!</definedName>
    <definedName name="DRUCK06">#REF!</definedName>
    <definedName name="DRUCK07">#REF!</definedName>
    <definedName name="DRUCK08">#REF!</definedName>
    <definedName name="DRUCK09">#REF!</definedName>
    <definedName name="DRUCK10">#REF!</definedName>
    <definedName name="DRUCK11">#REF!</definedName>
    <definedName name="DRUCK11A">#REF!</definedName>
    <definedName name="DRUCK11B">#REF!</definedName>
    <definedName name="DRUCK12">#REF!</definedName>
    <definedName name="DRUCK13">#REF!</definedName>
    <definedName name="DRUCK14">#REF!</definedName>
    <definedName name="DRUCK15">#REF!</definedName>
    <definedName name="DRUCK16">#REF!</definedName>
    <definedName name="DRUCK17">#REF!</definedName>
    <definedName name="DRUCK18">#REF!</definedName>
    <definedName name="DRUCK19">#REF!</definedName>
    <definedName name="DRUCK1A">#REF!</definedName>
    <definedName name="DRUCK1B">#REF!</definedName>
    <definedName name="DRUCK20">#REF!</definedName>
    <definedName name="DRUCK21">#REF!</definedName>
    <definedName name="DRUCK22">#REF!</definedName>
    <definedName name="DRUCK23">#REF!</definedName>
    <definedName name="DRUCK24">#REF!</definedName>
    <definedName name="DRUCK25">#REF!</definedName>
    <definedName name="DRUCK26">#REF!</definedName>
    <definedName name="DRUCK27">#REF!</definedName>
    <definedName name="DRUCK28">#REF!</definedName>
    <definedName name="DRUCK29">#REF!</definedName>
    <definedName name="DRUCK30">#REF!</definedName>
    <definedName name="DRUCK31">#REF!</definedName>
    <definedName name="DRUCK32">#REF!</definedName>
    <definedName name="DRUCK33">#REF!</definedName>
    <definedName name="DRUCK34">#REF!</definedName>
    <definedName name="DRUCK35">#REF!</definedName>
    <definedName name="DRUCK36">#REF!</definedName>
    <definedName name="DRUCK37">#REF!</definedName>
    <definedName name="DRUCK38">#REF!</definedName>
    <definedName name="DRUCK39">#REF!</definedName>
    <definedName name="DRUCK40">#REF!</definedName>
    <definedName name="DRUCK41">#REF!</definedName>
    <definedName name="Druck41a">#REF!</definedName>
    <definedName name="DRUCK42">#REF!</definedName>
    <definedName name="druck42a">#REF!</definedName>
    <definedName name="DRUCK43">#REF!</definedName>
    <definedName name="DRUCK44">#REF!</definedName>
    <definedName name="DRUCK45">#REF!</definedName>
    <definedName name="DRUCK46">#REF!</definedName>
    <definedName name="DRUCK47">#REF!</definedName>
    <definedName name="DRUCK48">#REF!</definedName>
    <definedName name="DRUCK49">#REF!</definedName>
    <definedName name="DRUCK50">#REF!</definedName>
    <definedName name="DRUCK51">#REF!</definedName>
    <definedName name="DRUCK52">#REF!</definedName>
    <definedName name="DRUCK53">#REF!</definedName>
    <definedName name="DRUCK54">#REF!</definedName>
    <definedName name="DRUCK61">#REF!</definedName>
    <definedName name="DRUCK62">#REF!</definedName>
    <definedName name="DRUCK63">#REF!</definedName>
    <definedName name="DRUCK64">#REF!</definedName>
    <definedName name="_xlnm.Print_Area" localSheetId="0">Deckblatt!$A$1:$G$59</definedName>
    <definedName name="_xlnm.Print_Area" localSheetId="1">'Gliederung SKL'!$A$1:$P$45</definedName>
    <definedName name="_xlnm.Print_Area" localSheetId="5">'Inhaltsverzeichnis Z'!$A$1:$H$44</definedName>
    <definedName name="_xlnm.Print_Area" localSheetId="2">Leer!$A$1:$G$55</definedName>
    <definedName name="_xlnm.Print_Area" localSheetId="4">'Leer 2'!$A$1:$G$59</definedName>
    <definedName name="_xlnm.Print_Area" localSheetId="3">'Z1'!$A$1:$G$59</definedName>
    <definedName name="_xlnm.Print_Area" localSheetId="6">'Z1.1'!$A$1:$AB$73</definedName>
    <definedName name="_xlnm.Print_Area" localSheetId="9">'Z2.2'!$A$1:$V$71</definedName>
    <definedName name="_xlnm.Print_Area" localSheetId="10">'Z3.1'!$A$1:$AB$73</definedName>
    <definedName name="_xlnm.Print_Area" localSheetId="11">'Z3.2'!$A$1:$V$72</definedName>
    <definedName name="_xlnm.Print_Area" localSheetId="12">'Z4.1'!$A$1:$AB$73</definedName>
    <definedName name="_xlnm.Print_Area" localSheetId="13">'Z4.2'!$A$1:$V$72</definedName>
    <definedName name="_xlnm.Print_Area" localSheetId="14">'Z5.1'!$A$1:$AB$72</definedName>
    <definedName name="_xlnm.Print_Area" localSheetId="16">'Z6.1'!$A$1:$AB$73</definedName>
    <definedName name="_xlnm.Print_Area" localSheetId="18">'Z7.1'!$A$1:$AB$73</definedName>
    <definedName name="_xlnm.Print_Area" localSheetId="20">'Z8.1'!$A$1:$AB$73</definedName>
    <definedName name="_xlnm.Print_Area" localSheetId="22">'Z9.1'!$A$1:$AB$26</definedName>
    <definedName name="_xlnm.Print_Area" localSheetId="23">'Z9.2'!$A$1:$V$26</definedName>
    <definedName name="_xlnm.Print_Titles" localSheetId="6">'Z1.1'!$5:$5</definedName>
    <definedName name="_xlnm.Print_Titles" localSheetId="7">'Z1.2'!$5:$5</definedName>
    <definedName name="_xlnm.Print_Titles" localSheetId="24">'Z10.1'!$5:$5</definedName>
    <definedName name="_xlnm.Print_Titles" localSheetId="25">'Z10.2'!$5:$5</definedName>
    <definedName name="_xlnm.Print_Titles" localSheetId="8">'Z2.1'!$5:$5</definedName>
    <definedName name="_xlnm.Print_Titles" localSheetId="9">'Z2.2'!$5:$5</definedName>
    <definedName name="_xlnm.Print_Titles" localSheetId="10">'Z3.1'!$5:$5</definedName>
    <definedName name="_xlnm.Print_Titles" localSheetId="11">'Z3.2'!$5:$5</definedName>
    <definedName name="_xlnm.Print_Titles" localSheetId="12">'Z4.1'!$5:$5</definedName>
    <definedName name="_xlnm.Print_Titles" localSheetId="13">'Z4.2'!$5:$5</definedName>
    <definedName name="_xlnm.Print_Titles" localSheetId="14">'Z5.1'!$5:$5</definedName>
    <definedName name="_xlnm.Print_Titles" localSheetId="15">'Z5.2'!$5:$5</definedName>
    <definedName name="_xlnm.Print_Titles" localSheetId="16">'Z6.1'!$5:$5</definedName>
    <definedName name="_xlnm.Print_Titles" localSheetId="17">'Z6.2 '!$5:$5</definedName>
    <definedName name="_xlnm.Print_Titles" localSheetId="18">'Z7.1'!$5:$5</definedName>
    <definedName name="_xlnm.Print_Titles" localSheetId="19">'Z7.2'!$5:$5</definedName>
    <definedName name="_xlnm.Print_Titles" localSheetId="20">'Z8.1'!$5:$5</definedName>
    <definedName name="_xlnm.Print_Titles" localSheetId="21">'Z8.2'!$5:$5</definedName>
    <definedName name="_xlnm.Print_Titles" localSheetId="22">'Z9.1'!$5:$5</definedName>
    <definedName name="_xlnm.Print_Titles" localSheetId="23">'Z9.2'!$5:$5</definedName>
    <definedName name="DRUFS01">#REF!</definedName>
    <definedName name="DRUFS02">#REF!</definedName>
    <definedName name="DRUFS03">#REF!</definedName>
    <definedName name="DRUFS04">#REF!</definedName>
    <definedName name="DRUFS05">#REF!</definedName>
    <definedName name="DRUFS06">#REF!</definedName>
    <definedName name="DRUHI01">#REF!</definedName>
    <definedName name="DRUHI02">#REF!</definedName>
    <definedName name="DRUHI03">#REF!</definedName>
    <definedName name="DRUHI04">#REF!</definedName>
    <definedName name="DRUHI05">#REF!</definedName>
    <definedName name="DRUHI06">#REF!</definedName>
    <definedName name="DRUHI07">#REF!</definedName>
    <definedName name="g">#REF!</definedName>
    <definedName name="Halbjahr">#REF!</definedName>
    <definedName name="Halbjahr1b">#REF!</definedName>
    <definedName name="Jahr">#REF!</definedName>
    <definedName name="Jahr1b">#REF!</definedName>
    <definedName name="jhfajfd">#REF!</definedName>
    <definedName name="MAKROER1">#REF!</definedName>
    <definedName name="MAKROER2">#REF!</definedName>
    <definedName name="nn">#REF!</definedName>
    <definedName name="PROT01VK">#REF!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5" i="26" l="1"/>
  <c r="I45" i="26" s="1"/>
  <c r="H4" i="26" l="1"/>
</calcChain>
</file>

<file path=xl/sharedStrings.xml><?xml version="1.0" encoding="utf-8"?>
<sst xmlns="http://schemas.openxmlformats.org/spreadsheetml/2006/main" count="3683" uniqueCount="212">
  <si>
    <t>Zusammenfassende Übersichten</t>
  </si>
  <si>
    <t>1.</t>
  </si>
  <si>
    <t>1.1</t>
  </si>
  <si>
    <t>Förderschulen</t>
  </si>
  <si>
    <t>mit Förderschwerpunkt Lernen</t>
  </si>
  <si>
    <t>mit sonstigen Förderschwerpunkten</t>
  </si>
  <si>
    <t>Vorschulbereich</t>
  </si>
  <si>
    <t>Vorklassen</t>
  </si>
  <si>
    <t>Schulkindergärten</t>
  </si>
  <si>
    <t>Grundschulen</t>
  </si>
  <si>
    <t>Integrierte Gesamtschulen</t>
  </si>
  <si>
    <t>Freie Waldorfschulen</t>
  </si>
  <si>
    <t>Schulartunabhängige Orientierungsstufe</t>
  </si>
  <si>
    <t>Hauptschulen</t>
  </si>
  <si>
    <t>Schularten mit mehreren Bildungsgängen</t>
  </si>
  <si>
    <t>Realschulen</t>
  </si>
  <si>
    <t>Gymnasien</t>
  </si>
  <si>
    <t>Abendhauptschulen</t>
  </si>
  <si>
    <t>Abendrealschulen</t>
  </si>
  <si>
    <t>Abendgymnasien</t>
  </si>
  <si>
    <t>Kollegs</t>
  </si>
  <si>
    <t>Berufsschulen</t>
  </si>
  <si>
    <t>Teilzeit-Berufsschulen</t>
  </si>
  <si>
    <t>Berufsvorbereitungsjahr</t>
  </si>
  <si>
    <t>Berufsgrundbildungsjahr</t>
  </si>
  <si>
    <t>Berufsaufbauschulen</t>
  </si>
  <si>
    <t>Berufsfachschulen</t>
  </si>
  <si>
    <t>Berufsober-/Technische Oberschulen</t>
  </si>
  <si>
    <t>Fachgymnasien</t>
  </si>
  <si>
    <t>Fachoberschulen</t>
  </si>
  <si>
    <t>Fachschulen</t>
  </si>
  <si>
    <t>Fachakademien/Berufsakademien</t>
  </si>
  <si>
    <t>Teilzeit-Berufsschulen einschließlich Berufsgrundbildungsjahr in kooperativer Form.</t>
  </si>
  <si>
    <t xml:space="preserve">Anmerkung: </t>
  </si>
  <si>
    <t>BW</t>
  </si>
  <si>
    <t>BY</t>
  </si>
  <si>
    <t>BE</t>
  </si>
  <si>
    <t>BB</t>
  </si>
  <si>
    <t>HB</t>
  </si>
  <si>
    <t>HH</t>
  </si>
  <si>
    <t>HE</t>
  </si>
  <si>
    <t>MV</t>
  </si>
  <si>
    <t>NI</t>
  </si>
  <si>
    <t>NW</t>
  </si>
  <si>
    <t>RP</t>
  </si>
  <si>
    <t>SL</t>
  </si>
  <si>
    <t>SN</t>
  </si>
  <si>
    <t>ST</t>
  </si>
  <si>
    <t>SH</t>
  </si>
  <si>
    <t>TH</t>
  </si>
  <si>
    <t>D</t>
  </si>
  <si>
    <t>2.</t>
  </si>
  <si>
    <t>2.1</t>
  </si>
  <si>
    <t>Klassen</t>
  </si>
  <si>
    <t>2.2</t>
  </si>
  <si>
    <t>x</t>
  </si>
  <si>
    <t>3.</t>
  </si>
  <si>
    <t>3.2</t>
  </si>
  <si>
    <t>3.1</t>
  </si>
  <si>
    <t>4.</t>
  </si>
  <si>
    <t>Erteilte Unterrichtsstunden</t>
  </si>
  <si>
    <t>4.2</t>
  </si>
  <si>
    <t>4.1</t>
  </si>
  <si>
    <t>5.</t>
  </si>
  <si>
    <t>5.1</t>
  </si>
  <si>
    <t>5.2</t>
  </si>
  <si>
    <t>6.</t>
  </si>
  <si>
    <t>6.2</t>
  </si>
  <si>
    <t>6.1</t>
  </si>
  <si>
    <t>7.</t>
  </si>
  <si>
    <t>7.1</t>
  </si>
  <si>
    <t>7.2</t>
  </si>
  <si>
    <t>8.</t>
  </si>
  <si>
    <t>Erteilte Unterrichtsstunden je Klasse</t>
  </si>
  <si>
    <t>8.2</t>
  </si>
  <si>
    <t>8.1</t>
  </si>
  <si>
    <t>9.</t>
  </si>
  <si>
    <t>9.2</t>
  </si>
  <si>
    <t>9.1</t>
  </si>
  <si>
    <t>Förderschule</t>
  </si>
  <si>
    <t>in Prozent</t>
  </si>
  <si>
    <t>absolut</t>
  </si>
  <si>
    <t>in Pozent</t>
  </si>
  <si>
    <t>Insgesamt</t>
  </si>
  <si>
    <t>dar.: aus Förderschulen mit Förderschwerpunkten "Lernen" und "Geistige Entwicklung"</t>
  </si>
  <si>
    <t>dar.: aus Förderschulen mit sonstigen Förderschwerpunkten</t>
  </si>
  <si>
    <t>Fachhochschulreife</t>
  </si>
  <si>
    <t>Hochschulreife</t>
  </si>
  <si>
    <t>10.</t>
  </si>
  <si>
    <t>10.2</t>
  </si>
  <si>
    <t>mittlerer Abschluss und entsprechende Abschlüsse</t>
  </si>
  <si>
    <t>Teilzeit-Berufsschule</t>
  </si>
  <si>
    <t>Gegenstand</t>
  </si>
  <si>
    <t>Seite</t>
  </si>
  <si>
    <t>Zeitreihe</t>
  </si>
  <si>
    <t>Ländervergleich</t>
  </si>
  <si>
    <t>Zeitreihen und Ländervergleiche zu den zentralen Daten</t>
  </si>
  <si>
    <t>A</t>
  </si>
  <si>
    <t>I</t>
  </si>
  <si>
    <t>Ingesamt</t>
  </si>
  <si>
    <t>nachrichtlich: Schulanfänger</t>
  </si>
  <si>
    <t>B</t>
  </si>
  <si>
    <t>II</t>
  </si>
  <si>
    <t>Berufliche Schulen</t>
  </si>
  <si>
    <t>- Berufsgrundbildungsjahr</t>
  </si>
  <si>
    <t>- Berufsvorbereitungsjahr</t>
  </si>
  <si>
    <t>- Teilzeit-Berufsschulen</t>
  </si>
  <si>
    <t>Berufsoberschulen/ Technische Oberschulen</t>
  </si>
  <si>
    <t>nachrichtlich: Schulen des Gesundheitswesens</t>
  </si>
  <si>
    <t>C</t>
  </si>
  <si>
    <t>III</t>
  </si>
  <si>
    <t>Anmerkung:</t>
  </si>
  <si>
    <t>Gymnasien*</t>
  </si>
  <si>
    <t>10.1</t>
  </si>
  <si>
    <t>Tabellenteil</t>
  </si>
  <si>
    <r>
      <t>BW</t>
    </r>
    <r>
      <rPr>
        <b/>
        <vertAlign val="superscript"/>
        <sz val="8"/>
        <color theme="1"/>
        <rFont val="Arial Narrow"/>
        <family val="2"/>
      </rPr>
      <t>1)</t>
    </r>
  </si>
  <si>
    <t>.</t>
  </si>
  <si>
    <t>1.2</t>
  </si>
  <si>
    <t xml:space="preserve">Allgemeinbildende und berufliche Schulen </t>
  </si>
  <si>
    <t>Allgemeinbildende Schulen</t>
  </si>
  <si>
    <t>Allgemeinbildende und berufliche Schulen</t>
  </si>
  <si>
    <t>An allgemeinbildenden und beruflichen Schulen erworbene allgemeinbildende Abschlüsse</t>
  </si>
  <si>
    <t xml:space="preserve">Teilzeit-Berufsschulen einschließlich Berufsgrundbildungsjahr in kooperativer Form. </t>
  </si>
  <si>
    <t>Primarstufe</t>
  </si>
  <si>
    <t>Sekundarstufe I</t>
  </si>
  <si>
    <t>Sekundarstufe II</t>
  </si>
  <si>
    <t>Schulstufe/Schulart</t>
  </si>
  <si>
    <t>Sekundarstufe II, Allgemeinbildende Schulen</t>
  </si>
  <si>
    <t>Sekundarstufe II, Berufliche Schulen</t>
  </si>
  <si>
    <t>Sekundarstufe II, Berufliche Schulen - Vollzeitform</t>
  </si>
  <si>
    <t>Sekundarstufe II, Berufliche Schulen - Teilzeitform</t>
  </si>
  <si>
    <t>Schulstufen/Schulart</t>
  </si>
  <si>
    <t>Sekundarstufe II, 
Allgemeinbildende Schulen</t>
  </si>
  <si>
    <t>Schulart</t>
  </si>
  <si>
    <t>Abkürzungen</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</si>
  <si>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</si>
  <si>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</si>
  <si>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</si>
  <si>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</si>
  <si>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</si>
  <si>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</si>
  <si>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</si>
  <si>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</si>
  <si>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</si>
  <si>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</si>
  <si>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</si>
  <si>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</si>
  <si>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</si>
  <si>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</si>
  <si>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</si>
  <si>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</si>
  <si>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Deutschland</t>
  </si>
  <si>
    <t>Lehrkräfte</t>
  </si>
  <si>
    <t>Schüler/-innen je Klasse</t>
  </si>
  <si>
    <t>Erteilte Unterrichtsstunden je Schüler/-in</t>
  </si>
  <si>
    <t>Schüler/-innen je Lehrkraft</t>
  </si>
  <si>
    <t>Schüler/-innen, Klassen, Lehrkräfte und erteilte Unterrichtsstunden nach Bildungsbereichen</t>
  </si>
  <si>
    <t>Schüler/-innen, Klassen, Lehrkräfte und erteilte Unterrichtsstunden nach Schularten und ausgewählten Klassenstufen</t>
  </si>
  <si>
    <t>Absolvierende der allgemeinbildenden und beruflichen Schulen</t>
  </si>
  <si>
    <t>Absolvierende nach Beendigung der Vollzeitschulpflicht mit Hauptschulabschluss</t>
  </si>
  <si>
    <t>Absolvierende mit mittlerem Abschluss und entsprechenden Abschlüssen</t>
  </si>
  <si>
    <t>Absolvierende mit Hochschul- und Fachhochschulreife</t>
  </si>
  <si>
    <t>Absolvierende beruflicher Schulen nach dort erworbenen allgemeinbildenden Abschlüssen</t>
  </si>
  <si>
    <t>Absolvierende der allgemeinbildenden und beruflichen Schulen nach allgemeinbildenden Abschlüssen</t>
  </si>
  <si>
    <t>Absolvierende und Abgehende</t>
  </si>
  <si>
    <t>Abgehende nach Beendigung der Vollzeitschulpflicht ohne Hauptschulabschluss</t>
  </si>
  <si>
    <t>Absolvierende und Abgehende nach Schularten</t>
  </si>
  <si>
    <t>Absolvierende der beruflichen Schulen nach Schularten</t>
  </si>
  <si>
    <t>Absolvierende und Abgehende der allgemeinbildenden Schulen nach Art des Abschlusses</t>
  </si>
  <si>
    <t>Absolvierende der beruflichen Schulen nach dort erworbenen allgemeinbildenden Abschlüssen</t>
  </si>
  <si>
    <t>Anteile der Absolvierenden und Abgehenden der allgemeinbildenden und beruflichen Schulen an der gleichaltrigen Wohnbevölkerung nach Quotensummenverfahren</t>
  </si>
  <si>
    <t>Anteile der Absolvierenden und Abgehenden der allgemeinbildenden und beruflichen Schulen an der gleichaltrigen Wohnbevölkerung nach Quotensummenverfahren*)</t>
  </si>
  <si>
    <t>Schüler/-innen</t>
  </si>
  <si>
    <t>Verteilung der Schüler/-innen in Klassenstufe 8 auf die Schularten</t>
  </si>
  <si>
    <t>1) BW: Wert für die Förderschule einschließlich Schüler der Hauptstufe (Schätzwert). NW: Abweichend zu den Vorjahren wurden auch diejnigen SuS einbezogen, die jahrgangsübergreifend unterrichtet werden und der achten Klassenstufe zugeordnet sind.</t>
  </si>
  <si>
    <t>Die Schulen für Kranke werden den sonstigen Förderschwerpunkten zugeordnet.</t>
  </si>
  <si>
    <t>SH (2016): Doppelentlassjahrgang. RP (2021): Vorjahreswerte.</t>
  </si>
  <si>
    <t>Teilzeit-Berufsschulen einschließlich Berufsgrundbildungsjahr in kooperativer Form. RP (2021): Vorjahreswerte.</t>
  </si>
  <si>
    <t>Aufgliederung in Förderschulen mit Förderschwerpunkt Lernen und Förderschulen mit sonstigen Förderschwerpunkten ohne Thüringen.</t>
  </si>
  <si>
    <r>
      <t xml:space="preserve">Aufgliederung in Förderschulen mit Förderschwerpunkt Lernen und Förderschulen mit sonstigen Förderschwerpunkten </t>
    </r>
    <r>
      <rPr>
        <sz val="8"/>
        <color rgb="FFFF0000"/>
        <rFont val="Arial Narrow"/>
        <family val="2"/>
      </rPr>
      <t xml:space="preserve"> </t>
    </r>
    <r>
      <rPr>
        <sz val="8"/>
        <color theme="1"/>
        <rFont val="Arial Narrow"/>
        <family val="2"/>
      </rPr>
      <t>ohne Thüringen.</t>
    </r>
  </si>
  <si>
    <r>
      <t>Aufgliederung in Förderschulen mit Förderschwerpunkt Lernen und Förderschulen mit sonstigen Förderschwerpunkten</t>
    </r>
    <r>
      <rPr>
        <sz val="8"/>
        <color rgb="FFFF0000"/>
        <rFont val="Arial Narrow"/>
        <family val="2"/>
      </rPr>
      <t xml:space="preserve"> </t>
    </r>
    <r>
      <rPr>
        <sz val="8"/>
        <color theme="1"/>
        <rFont val="Arial Narrow"/>
        <family val="2"/>
      </rPr>
      <t>ohne Thüringen.</t>
    </r>
  </si>
  <si>
    <r>
      <t>Aufgliederung in Förderschulen mit Förderschwerpunkt Lernen und Förderschulen mit sonstigen Förderschwerpunkten</t>
    </r>
    <r>
      <rPr>
        <sz val="8"/>
        <color rgb="FFFF0000"/>
        <rFont val="Arial Narrow"/>
        <family val="2"/>
      </rPr>
      <t xml:space="preserve"> </t>
    </r>
    <r>
      <rPr>
        <sz val="8"/>
        <color theme="1"/>
        <rFont val="Arial Narrow"/>
        <family val="2"/>
      </rPr>
      <t xml:space="preserve">ohne Thüringen. </t>
    </r>
  </si>
  <si>
    <t>Aufgliederung in Förderschulen mit Förderschwerpunkt Lernen und Förderschulen mit sonstigen Förderschwerpunkten ohne Thüringen. MV (2020 - erteilte Unterrichtsstunden): Vorjahreswerte.</t>
  </si>
  <si>
    <t xml:space="preserve">Absolvierende mit Fachhochschulreife: Ohne Absolvierende, die nur den schulischen Teil der Fachhochschulreife erworben haben. 
*) Quotensummenverfahren: Beim Quotensummenverfahren wird pro Entlassjahrgang die Anzahl der Absolvierende und Abgehende aus einem Bevölkerungsjahrgang durch die Anzahl des entsprechenden Bevölkerungsjahrgangs geteilt. Dies wird für jeden Bevölkerungsjahrgang angewendet, in dem es für den jeweiligen Abschluss Absolvierende gibt. Letztendlich werden die bevölkerungsjahrgangsbezogenen Quoten addiert.
Absolvierende mit Hochschulreife: SH (2016): Doppelentlassjahrgang. NI (2020): Rückgang der Absolvierendenzahlen mit Hochschulreife durch Rückumstellung von G8 auf G9.
2022: Angaben wurden gegenüber der ursprünglichen Veröffentlichung vom 26.01.2024 am 29.02.2024 korrigiert (Korrektur RP). </t>
  </si>
  <si>
    <t xml:space="preserve">Absolvierende mit Fachhochschulreife: Ohne Absolvierende, die nur den schulischen Teil der Fachhochschulreife erworben haben. 
</t>
  </si>
  <si>
    <t>Zeitreihe 2015 bis 2024</t>
  </si>
  <si>
    <t>Ländervergleich 2024</t>
  </si>
  <si>
    <t>Schularten mit drei Bildungsgängen</t>
  </si>
  <si>
    <t>Schularten mit zwei Bildungsgängen</t>
  </si>
  <si>
    <t>SH (2016): Doppelentlassjahrgang.</t>
  </si>
  <si>
    <t>Hauptschulen (Schularten mit einem Bildungsgang, die auf den ersten Schulabschluss ausgerichtet sind)</t>
  </si>
  <si>
    <t>Schularten mit zwei Bildungsgängen (ehemals Schularten mit mehreren Bildungsgängen)</t>
  </si>
  <si>
    <t>Realschulen (Schularten mit einem Bildungsgang, die auf den mittleren Schulabschluss ausgerichtet sind)</t>
  </si>
  <si>
    <t>Gymnasien (Schularten mit einem Bildungsgang, die auf die allgemeine Hochschulreife ausgerichtet sind)</t>
  </si>
  <si>
    <t>Schularten mit drei Bildungsgängen (ehemals Integrierte Gesamtschulen)</t>
  </si>
  <si>
    <t>Jahr 2024</t>
  </si>
  <si>
    <t>Schülerinnen und Schüler = Schuljahr 2024/25</t>
  </si>
  <si>
    <t>Absolvierende = Abschlussjahr 2024 (Schuljahr 2023/24)</t>
  </si>
  <si>
    <t xml:space="preserve">Ab 2024 gelten für die Schularten des Sekundarbereichs I gemäß der Vereinbarung über die Schularten und Bildungsgänge im Sekundarbereich I folgende Bezeichnungen bzw. Zusätze: </t>
  </si>
  <si>
    <t xml:space="preserve">Die o.g. Zusätze sind aus Gründen der Lesbarkeit nicht in den zusammenfassenden Übersichten enthalten. </t>
  </si>
  <si>
    <t>Ab 2024 gelten für die Schularten des Sek-I-Bereichs neue Bezeichnungen bzw. Zusätze. Zudem kommt es bei den Hauptschulen, Schularten mit zwei Bildungsgängen und Schularten mit drei Bildungsgängen zu Neuzuordnungen.</t>
  </si>
  <si>
    <t>Die Mittelschulen aus BY werden ab 2024 den Schularten mit zwei Bildungsgängen zugeordnet (zuvor Hauptschulen).</t>
  </si>
  <si>
    <t>Die Sekundarschulen aus NW werden ab 2024 den Schularten mit drei Bildungsgängen zugeordnet (zuvor Schularten mit zwei Bildungsgängen).</t>
  </si>
  <si>
    <t>Anmerkungen:</t>
  </si>
  <si>
    <t>Abgehende nach Beendigung der Vollzeitschulpflicht ohne ersten Schulabschluss</t>
  </si>
  <si>
    <t>Absolvierende nach Beendigung der Vollzeitschulpflicht mit ersten Schulabschluss</t>
  </si>
  <si>
    <t>Absolvierende mit ersten Schulabschluss</t>
  </si>
  <si>
    <t>Ersten Schulabschluss</t>
  </si>
  <si>
    <t>Abgehende nach Beendigung der Vollzeitschulpflicht ohne Ersten Schulabschluss</t>
  </si>
  <si>
    <t>Absolvierende nach Beendigung der Vollzeitschulpflicht mit Ersten Schulabschluss</t>
  </si>
  <si>
    <t>Absolvierende mit Mittlerem Abschluss</t>
  </si>
  <si>
    <t>Absolvierende mit Ersten Schulabschluss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</si>
</sst>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64" formatCode="\-General\-"/>
    <numFmt numFmtId="165" formatCode="#,##0;\-#,##0;&quot;- &quot;"/>
    <numFmt numFmtId="166" formatCode="#,##0.0;\-#,##0.0;&quot;- &quot;"/>
    <numFmt numFmtId="167" formatCode="#,##0.00;\-#,##0.00;&quot;- &quot;"/>
    <numFmt numFmtId="168" formatCode="#,##0;\-#,##0;&quot;-&quot;"/>
    <numFmt numFmtId="169" formatCode="0.0"/>
    <numFmt numFmtId="170" formatCode="#,##0;\-#,##0;&quot;. &quot;"/>
    <numFmt numFmtId="171" formatCode="##\ ##"/>
    <numFmt numFmtId="172" formatCode="##\ ##\ #"/>
    <numFmt numFmtId="173" formatCode="##\ ##\ ##"/>
    <numFmt numFmtId="174" formatCode="##\ ##\ ##\ ###"/>
    <numFmt numFmtId="175" formatCode="#\ ###\ ##0;\-#\ ###\ ##0;\-;@"/>
  </numFmts>
  <fonts count="53">
    <font>
      <sz val="10"/>
      <color theme="1"/>
      <name val="Arial"/>
      <family val="2"/>
    </font>
    <font>
      <sz val="11"/>
      <color theme="1"/>
      <name val="Calibri"/>
      <family val="2"/>
      <scheme val="minor"/>
    </font>
    <font>
      <b/>
      <sz val="16"/>
      <color theme="1"/>
      <name val="Arial Narrow"/>
      <family val="2"/>
    </font>
    <font>
      <sz val="16"/>
      <color theme="1"/>
      <name val="Arial Narrow"/>
      <family val="2"/>
    </font>
    <font>
      <sz val="9"/>
      <color theme="1"/>
      <name val="Arial Narrow"/>
      <family val="2"/>
    </font>
    <font>
      <sz val="8"/>
      <color theme="1"/>
      <name val="Arial Narrow"/>
      <family val="2"/>
    </font>
    <font>
      <b/>
      <sz val="8"/>
      <color theme="1"/>
      <name val="Arial Narrow"/>
      <family val="2"/>
    </font>
    <font>
      <b/>
      <sz val="8"/>
      <name val="Arial Narrow"/>
      <family val="2"/>
    </font>
    <font>
      <sz val="8"/>
      <name val="Arial Narrow"/>
      <family val="2"/>
    </font>
    <font>
      <b/>
      <sz val="7"/>
      <color theme="1"/>
      <name val="Arial Narrow"/>
      <family val="2"/>
    </font>
    <font>
      <sz val="7"/>
      <color theme="1"/>
      <name val="Arial Narrow"/>
      <family val="2"/>
    </font>
    <font>
      <sz val="8"/>
      <color theme="1"/>
      <name val="Arial"/>
      <family val="2"/>
    </font>
    <font>
      <sz val="12"/>
      <color theme="1"/>
      <name val="Arial Narrow"/>
      <family val="2"/>
    </font>
    <font>
      <b/>
      <sz val="12"/>
      <color theme="1"/>
      <name val="Arial Narrow"/>
      <family val="2"/>
    </font>
    <font>
      <u/>
      <sz val="10"/>
      <color theme="10"/>
      <name val="Arial"/>
      <family val="2"/>
    </font>
    <font>
      <sz val="12"/>
      <name val="Arial Narrow"/>
      <family val="2"/>
    </font>
    <font>
      <b/>
      <sz val="12"/>
      <name val="Arial Narrow"/>
      <family val="2"/>
    </font>
    <font>
      <b/>
      <sz val="14"/>
      <color theme="1"/>
      <name val="Arial Narrow"/>
      <family val="2"/>
    </font>
    <font>
      <b/>
      <vertAlign val="superscript"/>
      <sz val="8"/>
      <color theme="1"/>
      <name val="Arial Narrow"/>
      <family val="2"/>
    </font>
    <font>
      <sz val="14"/>
      <color theme="1"/>
      <name val="Arial Narrow"/>
      <family val="2"/>
    </font>
    <font>
      <sz val="10"/>
      <color theme="1"/>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font>
    <font>
      <sz val="8"/>
      <name val="Times New Roman"/>
      <family val="1"/>
    </font>
    <font>
      <sz val="11"/>
      <color indexed="9"/>
      <name val="Calibri"/>
      <family val="2"/>
    </font>
    <font>
      <u/>
      <sz val="10"/>
      <color indexed="12"/>
      <name val="Arial"/>
      <family val="2"/>
    </font>
    <font>
      <u/>
      <sz val="10"/>
      <color indexed="12"/>
      <name val="MetaNormalLF-Roman"/>
      <family val="2"/>
    </font>
    <font>
      <u/>
      <sz val="12"/>
      <color indexed="12"/>
      <name val="MetaNormalLF-Roman"/>
      <family val="2"/>
    </font>
    <font>
      <sz val="10"/>
      <name val="Arial"/>
      <family val="2"/>
    </font>
    <font>
      <sz val="10"/>
      <name val="MetaNormalLF-Roman"/>
      <family val="2"/>
    </font>
    <font>
      <sz val="10"/>
      <color theme="1"/>
      <name val="MetaNormalLF-Roman"/>
      <family val="2"/>
    </font>
    <font>
      <sz val="12"/>
      <name val="MetaNormalLF-Roman"/>
      <family val="2"/>
    </font>
    <font>
      <sz val="10"/>
      <name val="Helvetica-Narrow"/>
    </font>
    <font>
      <b/>
      <sz val="10"/>
      <name val="Arial Narrow"/>
      <family val="2"/>
    </font>
    <font>
      <sz val="10"/>
      <name val="Arial Narrow"/>
      <family val="2"/>
    </font>
    <font>
      <sz val="8"/>
      <color rgb="FFFF0000"/>
      <name val="Arial Narrow"/>
      <family val="2"/>
    </font>
    <font>
      <sz val="10"/>
      <color rgb="FFFF0000"/>
      <name val="Arial"/>
      <family val="2"/>
    </font>
    <font>
      <sz val="10"/>
      <color theme="1"/>
      <name val="Arial Narrow"/>
      <family val="2"/>
    </font>
    <font>
      <u/>
      <sz val="8"/>
      <color theme="10"/>
      <name val="Arial Narrow"/>
      <family val="2"/>
    </font>
  </fonts>
  <fills count="4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s>
  <borders count="15">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s>
  <cellStyleXfs count="190">
    <xf numFmtId="0" fontId="0" fillId="0" borderId="0"/>
    <xf numFmtId="0" fontId="14" fillId="0" borderId="0" applyNumberFormat="0" applyFill="0" applyBorder="0" applyAlignment="0" applyProtection="0"/>
    <xf numFmtId="0" fontId="20" fillId="0" borderId="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36" fillId="33" borderId="0" applyNumberFormat="0" applyBorder="0" applyAlignment="0" applyProtection="0"/>
    <xf numFmtId="0" fontId="36" fillId="34" borderId="0" applyNumberFormat="0" applyBorder="0" applyAlignment="0" applyProtection="0"/>
    <xf numFmtId="0" fontId="36" fillId="35" borderId="0" applyNumberFormat="0" applyBorder="0" applyAlignment="0" applyProtection="0"/>
    <xf numFmtId="0" fontId="36" fillId="36" borderId="0" applyNumberFormat="0" applyBorder="0" applyAlignment="0" applyProtection="0"/>
    <xf numFmtId="0" fontId="36" fillId="37" borderId="0" applyNumberFormat="0" applyBorder="0" applyAlignment="0" applyProtection="0"/>
    <xf numFmtId="0" fontId="36" fillId="38" borderId="0" applyNumberFormat="0" applyBorder="0" applyAlignment="0" applyProtection="0"/>
    <xf numFmtId="171" fontId="37" fillId="0" borderId="13">
      <alignment horizontal="left"/>
    </xf>
    <xf numFmtId="171" fontId="37" fillId="0" borderId="13">
      <alignment horizontal="left"/>
    </xf>
    <xf numFmtId="171" fontId="37" fillId="0" borderId="14">
      <alignment horizontal="left"/>
    </xf>
    <xf numFmtId="171" fontId="37" fillId="0" borderId="14">
      <alignment horizontal="left"/>
    </xf>
    <xf numFmtId="171" fontId="37" fillId="0" borderId="14">
      <alignment horizontal="left"/>
    </xf>
    <xf numFmtId="171" fontId="37" fillId="0" borderId="14">
      <alignment horizontal="left"/>
    </xf>
    <xf numFmtId="171" fontId="37" fillId="0" borderId="13">
      <alignment horizontal="left"/>
    </xf>
    <xf numFmtId="171" fontId="37" fillId="0" borderId="14">
      <alignment horizontal="left"/>
    </xf>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36" fillId="39" borderId="0" applyNumberFormat="0" applyBorder="0" applyAlignment="0" applyProtection="0"/>
    <xf numFmtId="0" fontId="36" fillId="40" borderId="0" applyNumberFormat="0" applyBorder="0" applyAlignment="0" applyProtection="0"/>
    <xf numFmtId="0" fontId="36" fillId="41" borderId="0" applyNumberFormat="0" applyBorder="0" applyAlignment="0" applyProtection="0"/>
    <xf numFmtId="0" fontId="36" fillId="36" borderId="0" applyNumberFormat="0" applyBorder="0" applyAlignment="0" applyProtection="0"/>
    <xf numFmtId="0" fontId="36" fillId="39" borderId="0" applyNumberFormat="0" applyBorder="0" applyAlignment="0" applyProtection="0"/>
    <xf numFmtId="0" fontId="36" fillId="42" borderId="0" applyNumberFormat="0" applyBorder="0" applyAlignment="0" applyProtection="0"/>
    <xf numFmtId="172" fontId="37" fillId="0" borderId="13">
      <alignment horizontal="left"/>
    </xf>
    <xf numFmtId="172" fontId="37" fillId="0" borderId="13">
      <alignment horizontal="left"/>
    </xf>
    <xf numFmtId="172" fontId="37" fillId="0" borderId="14">
      <alignment horizontal="left"/>
    </xf>
    <xf numFmtId="172" fontId="37" fillId="0" borderId="14">
      <alignment horizontal="left"/>
    </xf>
    <xf numFmtId="172" fontId="37" fillId="0" borderId="14">
      <alignment horizontal="left"/>
    </xf>
    <xf numFmtId="172" fontId="37" fillId="0" borderId="14">
      <alignment horizontal="left"/>
    </xf>
    <xf numFmtId="172" fontId="37" fillId="0" borderId="13">
      <alignment horizontal="left"/>
    </xf>
    <xf numFmtId="172" fontId="37" fillId="0" borderId="14">
      <alignment horizontal="left"/>
    </xf>
    <xf numFmtId="173" fontId="37" fillId="0" borderId="13">
      <alignment horizontal="left"/>
    </xf>
    <xf numFmtId="173" fontId="37" fillId="0" borderId="13">
      <alignment horizontal="left"/>
    </xf>
    <xf numFmtId="173" fontId="37" fillId="0" borderId="14">
      <alignment horizontal="left"/>
    </xf>
    <xf numFmtId="173" fontId="37" fillId="0" borderId="14">
      <alignment horizontal="left"/>
    </xf>
    <xf numFmtId="173" fontId="37" fillId="0" borderId="14">
      <alignment horizontal="left"/>
    </xf>
    <xf numFmtId="173" fontId="37" fillId="0" borderId="14">
      <alignment horizontal="left"/>
    </xf>
    <xf numFmtId="173" fontId="37" fillId="0" borderId="13">
      <alignment horizontal="left"/>
    </xf>
    <xf numFmtId="173" fontId="37" fillId="0" borderId="14">
      <alignment horizontal="left"/>
    </xf>
    <xf numFmtId="0" fontId="35" fillId="12" borderId="0" applyNumberFormat="0" applyBorder="0" applyAlignment="0" applyProtection="0"/>
    <xf numFmtId="0" fontId="35" fillId="12" borderId="0" applyNumberFormat="0" applyBorder="0" applyAlignment="0" applyProtection="0"/>
    <xf numFmtId="0" fontId="35" fillId="16" borderId="0" applyNumberFormat="0" applyBorder="0" applyAlignment="0" applyProtection="0"/>
    <xf numFmtId="0" fontId="35" fillId="16" borderId="0" applyNumberFormat="0" applyBorder="0" applyAlignment="0" applyProtection="0"/>
    <xf numFmtId="0" fontId="35" fillId="20" borderId="0" applyNumberFormat="0" applyBorder="0" applyAlignment="0" applyProtection="0"/>
    <xf numFmtId="0" fontId="35" fillId="20" borderId="0" applyNumberFormat="0" applyBorder="0" applyAlignment="0" applyProtection="0"/>
    <xf numFmtId="0" fontId="35" fillId="24" borderId="0" applyNumberFormat="0" applyBorder="0" applyAlignment="0" applyProtection="0"/>
    <xf numFmtId="0" fontId="35" fillId="24" borderId="0" applyNumberFormat="0" applyBorder="0" applyAlignment="0" applyProtection="0"/>
    <xf numFmtId="0" fontId="35" fillId="28" borderId="0" applyNumberFormat="0" applyBorder="0" applyAlignment="0" applyProtection="0"/>
    <xf numFmtId="0" fontId="35" fillId="28" borderId="0" applyNumberFormat="0" applyBorder="0" applyAlignment="0" applyProtection="0"/>
    <xf numFmtId="0" fontId="35" fillId="32" borderId="0" applyNumberFormat="0" applyBorder="0" applyAlignment="0" applyProtection="0"/>
    <xf numFmtId="0" fontId="35" fillId="32" borderId="0" applyNumberFormat="0" applyBorder="0" applyAlignment="0" applyProtection="0"/>
    <xf numFmtId="0" fontId="38" fillId="43" borderId="0" applyNumberFormat="0" applyBorder="0" applyAlignment="0" applyProtection="0"/>
    <xf numFmtId="0" fontId="38" fillId="40" borderId="0" applyNumberFormat="0" applyBorder="0" applyAlignment="0" applyProtection="0"/>
    <xf numFmtId="0" fontId="38" fillId="41" borderId="0" applyNumberFormat="0" applyBorder="0" applyAlignment="0" applyProtection="0"/>
    <xf numFmtId="0" fontId="38" fillId="44" borderId="0" applyNumberFormat="0" applyBorder="0" applyAlignment="0" applyProtection="0"/>
    <xf numFmtId="0" fontId="38" fillId="45" borderId="0" applyNumberFormat="0" applyBorder="0" applyAlignment="0" applyProtection="0"/>
    <xf numFmtId="0" fontId="38" fillId="46" borderId="0" applyNumberFormat="0" applyBorder="0" applyAlignment="0" applyProtection="0"/>
    <xf numFmtId="174" fontId="37" fillId="0" borderId="13">
      <alignment horizontal="left"/>
    </xf>
    <xf numFmtId="174" fontId="37" fillId="0" borderId="13">
      <alignment horizontal="left"/>
    </xf>
    <xf numFmtId="174" fontId="37" fillId="0" borderId="14">
      <alignment horizontal="left"/>
    </xf>
    <xf numFmtId="174" fontId="37" fillId="0" borderId="14">
      <alignment horizontal="left"/>
    </xf>
    <xf numFmtId="174" fontId="37" fillId="0" borderId="14">
      <alignment horizontal="left"/>
    </xf>
    <xf numFmtId="174" fontId="37" fillId="0" borderId="14">
      <alignment horizontal="left"/>
    </xf>
    <xf numFmtId="174" fontId="37" fillId="0" borderId="13">
      <alignment horizontal="left"/>
    </xf>
    <xf numFmtId="174" fontId="37" fillId="0" borderId="14">
      <alignment horizontal="left"/>
    </xf>
    <xf numFmtId="0" fontId="35" fillId="9" borderId="0" applyNumberFormat="0" applyBorder="0" applyAlignment="0" applyProtection="0"/>
    <xf numFmtId="0" fontId="35" fillId="9" borderId="0" applyNumberFormat="0" applyBorder="0" applyAlignment="0" applyProtection="0"/>
    <xf numFmtId="0" fontId="35" fillId="13" borderId="0" applyNumberFormat="0" applyBorder="0" applyAlignment="0" applyProtection="0"/>
    <xf numFmtId="0" fontId="35" fillId="13" borderId="0" applyNumberFormat="0" applyBorder="0" applyAlignment="0" applyProtection="0"/>
    <xf numFmtId="0" fontId="35" fillId="17" borderId="0" applyNumberFormat="0" applyBorder="0" applyAlignment="0" applyProtection="0"/>
    <xf numFmtId="0" fontId="35" fillId="17" borderId="0" applyNumberFormat="0" applyBorder="0" applyAlignment="0" applyProtection="0"/>
    <xf numFmtId="0" fontId="35" fillId="21" borderId="0" applyNumberFormat="0" applyBorder="0" applyAlignment="0" applyProtection="0"/>
    <xf numFmtId="0" fontId="35" fillId="21" borderId="0" applyNumberFormat="0" applyBorder="0" applyAlignment="0" applyProtection="0"/>
    <xf numFmtId="0" fontId="35" fillId="25" borderId="0" applyNumberFormat="0" applyBorder="0" applyAlignment="0" applyProtection="0"/>
    <xf numFmtId="0" fontId="35" fillId="25" borderId="0" applyNumberFormat="0" applyBorder="0" applyAlignment="0" applyProtection="0"/>
    <xf numFmtId="0" fontId="35" fillId="29" borderId="0" applyNumberFormat="0" applyBorder="0" applyAlignment="0" applyProtection="0"/>
    <xf numFmtId="0" fontId="35" fillId="29" borderId="0" applyNumberFormat="0" applyBorder="0" applyAlignment="0" applyProtection="0"/>
    <xf numFmtId="0" fontId="28" fillId="6" borderId="8" applyNumberFormat="0" applyAlignment="0" applyProtection="0"/>
    <xf numFmtId="0" fontId="28" fillId="6" borderId="8" applyNumberFormat="0" applyAlignment="0" applyProtection="0"/>
    <xf numFmtId="0" fontId="29" fillId="6" borderId="7" applyNumberFormat="0" applyAlignment="0" applyProtection="0"/>
    <xf numFmtId="0" fontId="29" fillId="6" borderId="7" applyNumberFormat="0" applyAlignment="0" applyProtection="0"/>
    <xf numFmtId="0" fontId="27" fillId="5" borderId="7" applyNumberFormat="0" applyAlignment="0" applyProtection="0"/>
    <xf numFmtId="0" fontId="27" fillId="5" borderId="7" applyNumberFormat="0" applyAlignment="0" applyProtection="0"/>
    <xf numFmtId="0" fontId="34" fillId="0" borderId="12" applyNumberFormat="0" applyFill="0" applyAlignment="0" applyProtection="0"/>
    <xf numFmtId="0" fontId="34" fillId="0" borderId="12" applyNumberFormat="0" applyFill="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24" fillId="2" borderId="0" applyNumberFormat="0" applyBorder="0" applyAlignment="0" applyProtection="0"/>
    <xf numFmtId="0" fontId="24" fillId="2" borderId="0" applyNumberFormat="0" applyBorder="0" applyAlignment="0" applyProtection="0"/>
    <xf numFmtId="0" fontId="39"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1" fillId="0" borderId="0" applyNumberFormat="0" applyFill="0" applyBorder="0" applyAlignment="0" applyProtection="0">
      <alignment vertical="top"/>
      <protection locked="0"/>
    </xf>
    <xf numFmtId="0" fontId="26" fillId="4" borderId="0" applyNumberFormat="0" applyBorder="0" applyAlignment="0" applyProtection="0"/>
    <xf numFmtId="0" fontId="26" fillId="4" borderId="0" applyNumberFormat="0" applyBorder="0" applyAlignment="0" applyProtection="0"/>
    <xf numFmtId="0" fontId="1" fillId="8" borderId="11" applyNumberFormat="0" applyFont="0" applyAlignment="0" applyProtection="0"/>
    <xf numFmtId="0" fontId="1" fillId="8" borderId="11" applyNumberFormat="0" applyFont="0" applyAlignment="0" applyProtection="0"/>
    <xf numFmtId="0" fontId="1" fillId="8" borderId="11" applyNumberFormat="0" applyFont="0" applyAlignment="0" applyProtection="0"/>
    <xf numFmtId="0" fontId="1" fillId="8" borderId="11" applyNumberFormat="0" applyFont="0" applyAlignment="0" applyProtection="0"/>
    <xf numFmtId="0" fontId="1" fillId="8" borderId="11" applyNumberFormat="0" applyFont="0" applyAlignment="0" applyProtection="0"/>
    <xf numFmtId="0" fontId="1" fillId="8" borderId="11" applyNumberFormat="0" applyFont="0" applyAlignment="0" applyProtection="0"/>
    <xf numFmtId="9" fontId="42" fillId="0" borderId="0" applyFont="0" applyFill="0" applyBorder="0" applyAlignment="0" applyProtection="0"/>
    <xf numFmtId="0" fontId="25" fillId="3" borderId="0" applyNumberFormat="0" applyBorder="0" applyAlignment="0" applyProtection="0"/>
    <xf numFmtId="0" fontId="25" fillId="3" borderId="0" applyNumberFormat="0" applyBorder="0" applyAlignment="0" applyProtection="0"/>
    <xf numFmtId="0" fontId="42" fillId="0" borderId="0"/>
    <xf numFmtId="0" fontId="42" fillId="0" borderId="0"/>
    <xf numFmtId="0" fontId="1" fillId="0" borderId="0"/>
    <xf numFmtId="0" fontId="43" fillId="0" borderId="0"/>
    <xf numFmtId="0" fontId="44" fillId="0" borderId="0"/>
    <xf numFmtId="0" fontId="42" fillId="0" borderId="0"/>
    <xf numFmtId="0" fontId="42" fillId="0" borderId="0"/>
    <xf numFmtId="0" fontId="42" fillId="0" borderId="0"/>
    <xf numFmtId="0" fontId="43" fillId="0" borderId="0"/>
    <xf numFmtId="0" fontId="1" fillId="0" borderId="0"/>
    <xf numFmtId="0" fontId="43" fillId="0" borderId="0"/>
    <xf numFmtId="175" fontId="45" fillId="0" borderId="0"/>
    <xf numFmtId="0" fontId="1" fillId="0" borderId="0"/>
    <xf numFmtId="0" fontId="1" fillId="0" borderId="0"/>
    <xf numFmtId="0" fontId="43" fillId="0" borderId="0"/>
    <xf numFmtId="0" fontId="45" fillId="0" borderId="0"/>
    <xf numFmtId="0" fontId="21" fillId="0" borderId="4" applyNumberFormat="0" applyFill="0" applyAlignment="0" applyProtection="0"/>
    <xf numFmtId="0" fontId="22" fillId="0" borderId="5" applyNumberFormat="0" applyFill="0" applyAlignment="0" applyProtection="0"/>
    <xf numFmtId="0" fontId="23" fillId="0" borderId="6" applyNumberFormat="0" applyFill="0" applyAlignment="0" applyProtection="0"/>
    <xf numFmtId="0" fontId="23" fillId="0" borderId="0" applyNumberFormat="0" applyFill="0" applyBorder="0" applyAlignment="0" applyProtection="0"/>
    <xf numFmtId="0" fontId="30" fillId="0" borderId="9" applyNumberFormat="0" applyFill="0" applyAlignment="0" applyProtection="0"/>
    <xf numFmtId="0" fontId="30" fillId="0" borderId="9"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1" fillId="7" borderId="10" applyNumberFormat="0" applyAlignment="0" applyProtection="0"/>
    <xf numFmtId="0" fontId="31" fillId="7" borderId="10" applyNumberFormat="0" applyAlignment="0" applyProtection="0"/>
    <xf numFmtId="0" fontId="46" fillId="0" borderId="0"/>
  </cellStyleXfs>
  <cellXfs count="200">
    <xf numFmtId="0" fontId="0" fillId="0" borderId="0" xfId="0"/>
    <xf numFmtId="0" fontId="2" fillId="0" borderId="0" xfId="0" applyFont="1" applyAlignment="1">
      <alignment vertical="center" wrapText="1"/>
    </xf>
    <xf numFmtId="0" fontId="3" fillId="0" borderId="0" xfId="0" applyFont="1" applyAlignment="1">
      <alignment vertical="center"/>
    </xf>
    <xf numFmtId="0" fontId="5" fillId="0" borderId="0" xfId="0" applyFont="1"/>
    <xf numFmtId="0" fontId="6" fillId="0" borderId="0" xfId="0" applyFont="1"/>
    <xf numFmtId="0" fontId="6" fillId="0" borderId="0" xfId="0" quotePrefix="1" applyFont="1"/>
    <xf numFmtId="0" fontId="0" fillId="0" borderId="0" xfId="0" applyAlignment="1">
      <alignment vertical="center"/>
    </xf>
    <xf numFmtId="0" fontId="5" fillId="0" borderId="0" xfId="0" applyFont="1" applyAlignment="1">
      <alignment vertical="center"/>
    </xf>
    <xf numFmtId="0" fontId="6" fillId="0" borderId="1" xfId="0" applyFont="1" applyBorder="1" applyAlignment="1">
      <alignment vertical="center"/>
    </xf>
    <xf numFmtId="0" fontId="7" fillId="0" borderId="1" xfId="0" applyFont="1" applyBorder="1"/>
    <xf numFmtId="0" fontId="7" fillId="0" borderId="2" xfId="0" applyFont="1" applyBorder="1"/>
    <xf numFmtId="0" fontId="7" fillId="0" borderId="0" xfId="0" applyFont="1"/>
    <xf numFmtId="0" fontId="8" fillId="0" borderId="0" xfId="0" applyFont="1"/>
    <xf numFmtId="0" fontId="8" fillId="0" borderId="2" xfId="0" applyFont="1" applyBorder="1"/>
    <xf numFmtId="0" fontId="8" fillId="0" borderId="2" xfId="0" applyFont="1" applyBorder="1" applyAlignment="1">
      <alignment vertical="top"/>
    </xf>
    <xf numFmtId="0" fontId="8" fillId="0" borderId="0" xfId="0" applyFont="1" applyAlignment="1">
      <alignment vertical="top"/>
    </xf>
    <xf numFmtId="0" fontId="7" fillId="0" borderId="3" xfId="0" applyFont="1" applyBorder="1"/>
    <xf numFmtId="0" fontId="5" fillId="0" borderId="3" xfId="0" applyFont="1" applyBorder="1"/>
    <xf numFmtId="0" fontId="6" fillId="0" borderId="1" xfId="0" applyFont="1" applyBorder="1" applyAlignment="1">
      <alignment horizontal="right" vertical="center"/>
    </xf>
    <xf numFmtId="165" fontId="9" fillId="0" borderId="0" xfId="0" applyNumberFormat="1" applyFont="1"/>
    <xf numFmtId="165" fontId="9" fillId="0" borderId="1" xfId="0" applyNumberFormat="1" applyFont="1" applyBorder="1"/>
    <xf numFmtId="165" fontId="10" fillId="0" borderId="0" xfId="0" applyNumberFormat="1" applyFont="1"/>
    <xf numFmtId="165" fontId="10" fillId="0" borderId="2" xfId="0" applyNumberFormat="1" applyFont="1" applyBorder="1"/>
    <xf numFmtId="165" fontId="9" fillId="0" borderId="0" xfId="0" applyNumberFormat="1" applyFont="1" applyAlignment="1">
      <alignment vertical="top"/>
    </xf>
    <xf numFmtId="165" fontId="9" fillId="0" borderId="3" xfId="0" applyNumberFormat="1" applyFont="1" applyBorder="1"/>
    <xf numFmtId="165" fontId="10" fillId="0" borderId="3" xfId="0" applyNumberFormat="1" applyFont="1" applyBorder="1"/>
    <xf numFmtId="165" fontId="9" fillId="0" borderId="0" xfId="0" applyNumberFormat="1" applyFont="1" applyAlignment="1">
      <alignment horizontal="right"/>
    </xf>
    <xf numFmtId="165" fontId="9" fillId="0" borderId="1" xfId="0" applyNumberFormat="1" applyFont="1" applyBorder="1" applyAlignment="1">
      <alignment horizontal="right"/>
    </xf>
    <xf numFmtId="165" fontId="10" fillId="0" borderId="0" xfId="0" applyNumberFormat="1" applyFont="1" applyAlignment="1">
      <alignment horizontal="right"/>
    </xf>
    <xf numFmtId="165" fontId="10" fillId="0" borderId="2" xfId="0" applyNumberFormat="1" applyFont="1" applyBorder="1" applyAlignment="1">
      <alignment horizontal="right"/>
    </xf>
    <xf numFmtId="165" fontId="9" fillId="0" borderId="3" xfId="0" applyNumberFormat="1" applyFont="1" applyBorder="1" applyAlignment="1">
      <alignment horizontal="right" vertical="top"/>
    </xf>
    <xf numFmtId="166" fontId="9" fillId="0" borderId="1" xfId="0" applyNumberFormat="1" applyFont="1" applyBorder="1" applyAlignment="1">
      <alignment horizontal="right"/>
    </xf>
    <xf numFmtId="166" fontId="9" fillId="0" borderId="0" xfId="0" applyNumberFormat="1" applyFont="1" applyAlignment="1">
      <alignment horizontal="right"/>
    </xf>
    <xf numFmtId="166" fontId="10" fillId="0" borderId="0" xfId="0" applyNumberFormat="1" applyFont="1" applyAlignment="1">
      <alignment horizontal="right"/>
    </xf>
    <xf numFmtId="166" fontId="9" fillId="0" borderId="3" xfId="0" applyNumberFormat="1" applyFont="1" applyBorder="1" applyAlignment="1">
      <alignment horizontal="right"/>
    </xf>
    <xf numFmtId="166" fontId="10" fillId="0" borderId="2" xfId="0" applyNumberFormat="1" applyFont="1" applyBorder="1" applyAlignment="1">
      <alignment horizontal="right"/>
    </xf>
    <xf numFmtId="166" fontId="9" fillId="0" borderId="0" xfId="0" applyNumberFormat="1" applyFont="1" applyAlignment="1">
      <alignment horizontal="right" vertical="top"/>
    </xf>
    <xf numFmtId="167" fontId="9" fillId="0" borderId="0" xfId="0" applyNumberFormat="1" applyFont="1" applyAlignment="1">
      <alignment horizontal="right"/>
    </xf>
    <xf numFmtId="167" fontId="9" fillId="0" borderId="1" xfId="0" applyNumberFormat="1" applyFont="1" applyBorder="1" applyAlignment="1">
      <alignment horizontal="right"/>
    </xf>
    <xf numFmtId="167" fontId="10" fillId="0" borderId="0" xfId="0" applyNumberFormat="1" applyFont="1" applyAlignment="1">
      <alignment horizontal="right"/>
    </xf>
    <xf numFmtId="167" fontId="10" fillId="0" borderId="2" xfId="0" applyNumberFormat="1" applyFont="1" applyBorder="1" applyAlignment="1">
      <alignment horizontal="right"/>
    </xf>
    <xf numFmtId="167" fontId="9" fillId="0" borderId="3" xfId="0" applyNumberFormat="1" applyFont="1" applyBorder="1" applyAlignment="1">
      <alignment horizontal="right"/>
    </xf>
    <xf numFmtId="167" fontId="9" fillId="0" borderId="0" xfId="0" applyNumberFormat="1" applyFont="1" applyAlignment="1">
      <alignment horizontal="right" vertical="top"/>
    </xf>
    <xf numFmtId="0" fontId="5" fillId="0" borderId="0" xfId="0" applyFont="1" applyAlignment="1">
      <alignment horizontal="right"/>
    </xf>
    <xf numFmtId="0" fontId="8" fillId="0" borderId="1" xfId="0" applyFont="1" applyBorder="1"/>
    <xf numFmtId="168" fontId="8" fillId="0" borderId="3" xfId="0" applyNumberFormat="1" applyFont="1" applyBorder="1" applyAlignment="1">
      <alignment horizontal="right"/>
    </xf>
    <xf numFmtId="168" fontId="8" fillId="0" borderId="0" xfId="0" applyNumberFormat="1" applyFont="1"/>
    <xf numFmtId="168" fontId="8" fillId="0" borderId="0" xfId="0" applyNumberFormat="1" applyFont="1" applyAlignment="1">
      <alignment horizontal="right"/>
    </xf>
    <xf numFmtId="168" fontId="8" fillId="0" borderId="2" xfId="0" applyNumberFormat="1" applyFont="1" applyBorder="1"/>
    <xf numFmtId="165" fontId="6" fillId="0" borderId="1" xfId="0" applyNumberFormat="1" applyFont="1" applyBorder="1" applyAlignment="1">
      <alignment horizontal="right"/>
    </xf>
    <xf numFmtId="165" fontId="5" fillId="0" borderId="0" xfId="0" applyNumberFormat="1" applyFont="1" applyAlignment="1">
      <alignment horizontal="right"/>
    </xf>
    <xf numFmtId="165" fontId="5" fillId="0" borderId="2" xfId="0" applyNumberFormat="1" applyFont="1" applyBorder="1" applyAlignment="1">
      <alignment horizontal="right"/>
    </xf>
    <xf numFmtId="166" fontId="6" fillId="0" borderId="1" xfId="0" applyNumberFormat="1" applyFont="1" applyBorder="1" applyAlignment="1">
      <alignment horizontal="right"/>
    </xf>
    <xf numFmtId="166" fontId="5" fillId="0" borderId="0" xfId="0" applyNumberFormat="1" applyFont="1" applyAlignment="1">
      <alignment horizontal="right"/>
    </xf>
    <xf numFmtId="166" fontId="5" fillId="0" borderId="2" xfId="0" applyNumberFormat="1" applyFont="1" applyBorder="1" applyAlignment="1">
      <alignment horizontal="right"/>
    </xf>
    <xf numFmtId="166" fontId="5" fillId="0" borderId="0" xfId="0" applyNumberFormat="1" applyFont="1"/>
    <xf numFmtId="165" fontId="5" fillId="0" borderId="0" xfId="0" applyNumberFormat="1" applyFont="1"/>
    <xf numFmtId="166" fontId="6" fillId="0" borderId="3" xfId="0" applyNumberFormat="1" applyFont="1" applyBorder="1"/>
    <xf numFmtId="165" fontId="6" fillId="0" borderId="0" xfId="0" applyNumberFormat="1" applyFont="1"/>
    <xf numFmtId="165" fontId="6" fillId="0" borderId="1" xfId="0" applyNumberFormat="1" applyFont="1" applyBorder="1"/>
    <xf numFmtId="165" fontId="6" fillId="0" borderId="3" xfId="0" applyNumberFormat="1" applyFont="1" applyBorder="1"/>
    <xf numFmtId="165" fontId="6" fillId="0" borderId="2" xfId="0" applyNumberFormat="1" applyFont="1" applyBorder="1"/>
    <xf numFmtId="165" fontId="5" fillId="0" borderId="3" xfId="0" applyNumberFormat="1" applyFont="1" applyBorder="1"/>
    <xf numFmtId="165" fontId="5" fillId="0" borderId="2" xfId="0" applyNumberFormat="1" applyFont="1" applyBorder="1"/>
    <xf numFmtId="0" fontId="11" fillId="0" borderId="0" xfId="0" applyFont="1"/>
    <xf numFmtId="166" fontId="6" fillId="0" borderId="0" xfId="0" applyNumberFormat="1" applyFont="1" applyAlignment="1">
      <alignment horizontal="right"/>
    </xf>
    <xf numFmtId="166" fontId="6" fillId="0" borderId="2" xfId="0" applyNumberFormat="1" applyFont="1" applyBorder="1" applyAlignment="1">
      <alignment horizontal="right"/>
    </xf>
    <xf numFmtId="166" fontId="5" fillId="0" borderId="3" xfId="0" applyNumberFormat="1" applyFont="1" applyBorder="1"/>
    <xf numFmtId="166" fontId="6" fillId="0" borderId="3" xfId="0" applyNumberFormat="1" applyFont="1" applyBorder="1" applyAlignment="1">
      <alignment horizontal="right"/>
    </xf>
    <xf numFmtId="167" fontId="6" fillId="0" borderId="0" xfId="0" applyNumberFormat="1" applyFont="1"/>
    <xf numFmtId="167" fontId="6" fillId="0" borderId="1" xfId="0" applyNumberFormat="1" applyFont="1" applyBorder="1"/>
    <xf numFmtId="167" fontId="6" fillId="0" borderId="3" xfId="0" applyNumberFormat="1" applyFont="1" applyBorder="1"/>
    <xf numFmtId="167" fontId="5" fillId="0" borderId="0" xfId="0" applyNumberFormat="1" applyFont="1"/>
    <xf numFmtId="167" fontId="6" fillId="0" borderId="2" xfId="0" applyNumberFormat="1" applyFont="1" applyBorder="1"/>
    <xf numFmtId="167" fontId="5" fillId="0" borderId="3" xfId="0" applyNumberFormat="1" applyFont="1" applyBorder="1"/>
    <xf numFmtId="167" fontId="5" fillId="0" borderId="2" xfId="0" applyNumberFormat="1" applyFont="1" applyBorder="1"/>
    <xf numFmtId="166" fontId="6" fillId="0" borderId="0" xfId="0" applyNumberFormat="1" applyFont="1"/>
    <xf numFmtId="166" fontId="6" fillId="0" borderId="1" xfId="0" applyNumberFormat="1" applyFont="1" applyBorder="1"/>
    <xf numFmtId="166" fontId="6" fillId="0" borderId="2" xfId="0" applyNumberFormat="1" applyFont="1" applyBorder="1"/>
    <xf numFmtId="166" fontId="5" fillId="0" borderId="2" xfId="0" applyNumberFormat="1" applyFont="1" applyBorder="1"/>
    <xf numFmtId="165" fontId="6" fillId="0" borderId="0" xfId="0" applyNumberFormat="1" applyFont="1" applyAlignment="1">
      <alignment horizontal="right"/>
    </xf>
    <xf numFmtId="165" fontId="6" fillId="0" borderId="2" xfId="0" applyNumberFormat="1" applyFont="1" applyBorder="1" applyAlignment="1">
      <alignment horizontal="right"/>
    </xf>
    <xf numFmtId="165" fontId="6" fillId="0" borderId="3" xfId="0" applyNumberFormat="1" applyFont="1" applyBorder="1" applyAlignment="1">
      <alignment horizontal="right"/>
    </xf>
    <xf numFmtId="0" fontId="8" fillId="0" borderId="0" xfId="0" applyFont="1" applyAlignment="1">
      <alignment vertical="center"/>
    </xf>
    <xf numFmtId="0" fontId="7" fillId="0" borderId="0" xfId="0" applyFont="1" applyAlignment="1">
      <alignment vertical="center"/>
    </xf>
    <xf numFmtId="0" fontId="7" fillId="0" borderId="2" xfId="0" applyFont="1" applyBorder="1" applyAlignment="1">
      <alignment vertical="center"/>
    </xf>
    <xf numFmtId="0" fontId="8" fillId="0" borderId="2" xfId="0" applyFont="1" applyBorder="1" applyAlignment="1">
      <alignment vertical="center"/>
    </xf>
    <xf numFmtId="0" fontId="7" fillId="0" borderId="0" xfId="0" applyFont="1" applyAlignment="1">
      <alignment horizontal="left" vertical="center"/>
    </xf>
    <xf numFmtId="165" fontId="7" fillId="0" borderId="0" xfId="0" applyNumberFormat="1" applyFont="1" applyAlignment="1">
      <alignment horizontal="right" vertical="center"/>
    </xf>
    <xf numFmtId="0" fontId="6" fillId="0" borderId="0" xfId="0" applyFont="1" applyAlignment="1">
      <alignment vertical="center"/>
    </xf>
    <xf numFmtId="165" fontId="6" fillId="0" borderId="0" xfId="0" applyNumberFormat="1" applyFont="1" applyAlignment="1">
      <alignment vertical="center"/>
    </xf>
    <xf numFmtId="165" fontId="5" fillId="0" borderId="0" xfId="0" applyNumberFormat="1" applyFont="1" applyAlignment="1">
      <alignment vertical="center"/>
    </xf>
    <xf numFmtId="165" fontId="5" fillId="0" borderId="2" xfId="0" applyNumberFormat="1" applyFont="1" applyBorder="1" applyAlignment="1">
      <alignment vertical="center"/>
    </xf>
    <xf numFmtId="169" fontId="5" fillId="0" borderId="0" xfId="0" applyNumberFormat="1" applyFont="1"/>
    <xf numFmtId="169" fontId="5" fillId="0" borderId="2" xfId="0" applyNumberFormat="1" applyFont="1" applyBorder="1"/>
    <xf numFmtId="169" fontId="6" fillId="0" borderId="0" xfId="0" applyNumberFormat="1" applyFont="1" applyAlignment="1">
      <alignment vertical="center"/>
    </xf>
    <xf numFmtId="169" fontId="6" fillId="0" borderId="0" xfId="0" applyNumberFormat="1" applyFont="1"/>
    <xf numFmtId="0" fontId="12" fillId="0" borderId="0" xfId="0" applyFont="1"/>
    <xf numFmtId="0" fontId="13" fillId="0" borderId="0" xfId="0" applyFont="1"/>
    <xf numFmtId="0" fontId="13" fillId="0" borderId="2" xfId="0" applyFont="1" applyBorder="1"/>
    <xf numFmtId="0" fontId="15" fillId="0" borderId="0" xfId="1" applyFont="1"/>
    <xf numFmtId="0" fontId="15" fillId="0" borderId="0" xfId="0" applyFont="1"/>
    <xf numFmtId="0" fontId="16" fillId="0" borderId="0" xfId="1" applyFont="1"/>
    <xf numFmtId="0" fontId="15" fillId="0" borderId="0" xfId="1" applyFont="1" applyBorder="1"/>
    <xf numFmtId="0" fontId="16" fillId="0" borderId="0" xfId="0" applyFont="1"/>
    <xf numFmtId="0" fontId="12" fillId="0" borderId="0" xfId="0" quotePrefix="1" applyFont="1"/>
    <xf numFmtId="0" fontId="17" fillId="0" borderId="0" xfId="0" applyFont="1"/>
    <xf numFmtId="164" fontId="4" fillId="0" borderId="0" xfId="0" applyNumberFormat="1" applyFont="1"/>
    <xf numFmtId="0" fontId="13" fillId="0" borderId="2" xfId="0" applyFont="1" applyBorder="1" applyAlignment="1">
      <alignment horizontal="right"/>
    </xf>
    <xf numFmtId="3" fontId="5" fillId="0" borderId="0" xfId="0" applyNumberFormat="1" applyFont="1"/>
    <xf numFmtId="0" fontId="5" fillId="0" borderId="0" xfId="0" applyFont="1" applyAlignment="1">
      <alignment vertical="top"/>
    </xf>
    <xf numFmtId="166" fontId="0" fillId="0" borderId="0" xfId="0" applyNumberFormat="1"/>
    <xf numFmtId="170" fontId="6" fillId="0" borderId="1" xfId="0" applyNumberFormat="1" applyFont="1" applyBorder="1" applyAlignment="1">
      <alignment horizontal="right"/>
    </xf>
    <xf numFmtId="170" fontId="5" fillId="0" borderId="0" xfId="0" applyNumberFormat="1" applyFont="1" applyAlignment="1">
      <alignment horizontal="right"/>
    </xf>
    <xf numFmtId="170" fontId="5" fillId="0" borderId="2" xfId="0" applyNumberFormat="1" applyFont="1" applyBorder="1" applyAlignment="1">
      <alignment horizontal="right"/>
    </xf>
    <xf numFmtId="0" fontId="5" fillId="0" borderId="0" xfId="2" applyFont="1"/>
    <xf numFmtId="0" fontId="6" fillId="0" borderId="0" xfId="2" applyFont="1"/>
    <xf numFmtId="0" fontId="6" fillId="0" borderId="0" xfId="2" quotePrefix="1" applyFont="1"/>
    <xf numFmtId="0" fontId="6" fillId="0" borderId="1" xfId="2" applyFont="1" applyBorder="1" applyAlignment="1">
      <alignment horizontal="right" vertical="center"/>
    </xf>
    <xf numFmtId="0" fontId="5" fillId="0" borderId="0" xfId="2" applyFont="1" applyAlignment="1">
      <alignment vertical="center"/>
    </xf>
    <xf numFmtId="0" fontId="7" fillId="0" borderId="1" xfId="2" applyFont="1" applyBorder="1"/>
    <xf numFmtId="0" fontId="7" fillId="0" borderId="3" xfId="2" applyFont="1" applyBorder="1"/>
    <xf numFmtId="165" fontId="9" fillId="0" borderId="0" xfId="2" applyNumberFormat="1" applyFont="1"/>
    <xf numFmtId="0" fontId="7" fillId="0" borderId="2" xfId="2" applyFont="1" applyBorder="1"/>
    <xf numFmtId="165" fontId="9" fillId="0" borderId="1" xfId="2" applyNumberFormat="1" applyFont="1" applyBorder="1"/>
    <xf numFmtId="0" fontId="7" fillId="0" borderId="0" xfId="2" applyFont="1"/>
    <xf numFmtId="0" fontId="8" fillId="0" borderId="0" xfId="2" applyFont="1"/>
    <xf numFmtId="165" fontId="10" fillId="0" borderId="0" xfId="2" applyNumberFormat="1" applyFont="1"/>
    <xf numFmtId="0" fontId="8" fillId="0" borderId="2" xfId="2" applyFont="1" applyBorder="1"/>
    <xf numFmtId="165" fontId="10" fillId="0" borderId="2" xfId="2" applyNumberFormat="1" applyFont="1" applyBorder="1"/>
    <xf numFmtId="165" fontId="9" fillId="0" borderId="3" xfId="2" applyNumberFormat="1" applyFont="1" applyBorder="1"/>
    <xf numFmtId="0" fontId="8" fillId="0" borderId="2" xfId="2" applyFont="1" applyBorder="1" applyAlignment="1">
      <alignment vertical="top"/>
    </xf>
    <xf numFmtId="0" fontId="8" fillId="0" borderId="0" xfId="2" applyFont="1" applyAlignment="1">
      <alignment vertical="top"/>
    </xf>
    <xf numFmtId="165" fontId="9" fillId="0" borderId="0" xfId="2" applyNumberFormat="1" applyFont="1" applyAlignment="1">
      <alignment vertical="top"/>
    </xf>
    <xf numFmtId="0" fontId="5" fillId="0" borderId="3" xfId="2" applyFont="1" applyBorder="1"/>
    <xf numFmtId="165" fontId="10" fillId="0" borderId="3" xfId="2" applyNumberFormat="1" applyFont="1" applyBorder="1"/>
    <xf numFmtId="0" fontId="19" fillId="0" borderId="0" xfId="0" applyFont="1" applyAlignment="1">
      <alignment vertical="center" wrapText="1"/>
    </xf>
    <xf numFmtId="0" fontId="19" fillId="0" borderId="0" xfId="0" applyFont="1" applyAlignment="1">
      <alignment vertical="center"/>
    </xf>
    <xf numFmtId="0" fontId="0" fillId="0" borderId="0" xfId="0" applyAlignment="1">
      <alignment vertical="center" wrapText="1"/>
    </xf>
    <xf numFmtId="165" fontId="5" fillId="0" borderId="0" xfId="2" applyNumberFormat="1" applyFont="1"/>
    <xf numFmtId="0" fontId="5" fillId="0" borderId="0" xfId="0" applyFont="1" applyAlignment="1">
      <alignment horizontal="left" vertical="top"/>
    </xf>
    <xf numFmtId="165" fontId="5" fillId="0" borderId="0" xfId="0" applyNumberFormat="1" applyFont="1" applyAlignment="1">
      <alignment horizontal="right" vertical="center"/>
    </xf>
    <xf numFmtId="166" fontId="5" fillId="0" borderId="0" xfId="0" applyNumberFormat="1" applyFont="1" applyAlignment="1">
      <alignment horizontal="right" vertical="center"/>
    </xf>
    <xf numFmtId="167" fontId="5" fillId="0" borderId="0" xfId="0" applyNumberFormat="1" applyFont="1" applyAlignment="1">
      <alignment horizontal="right" vertical="center"/>
    </xf>
    <xf numFmtId="0" fontId="20" fillId="0" borderId="0" xfId="2"/>
    <xf numFmtId="0" fontId="5" fillId="0" borderId="0" xfId="2" applyFont="1" applyAlignment="1">
      <alignment vertical="top"/>
    </xf>
    <xf numFmtId="0" fontId="3" fillId="0" borderId="0" xfId="0" applyFont="1" applyAlignment="1">
      <alignment horizontal="center" vertical="center"/>
    </xf>
    <xf numFmtId="0" fontId="47" fillId="0" borderId="0" xfId="189" applyFont="1"/>
    <xf numFmtId="0" fontId="48" fillId="0" borderId="0" xfId="189" applyFont="1"/>
    <xf numFmtId="0" fontId="48" fillId="0" borderId="0" xfId="189" applyFont="1" applyAlignment="1">
      <alignment vertical="top"/>
    </xf>
    <xf numFmtId="165" fontId="0" fillId="0" borderId="0" xfId="0" applyNumberFormat="1"/>
    <xf numFmtId="0" fontId="0" fillId="0" borderId="0" xfId="0" applyAlignment="1">
      <alignment vertical="top"/>
    </xf>
    <xf numFmtId="0" fontId="5" fillId="0" borderId="2" xfId="0" applyFont="1" applyBorder="1"/>
    <xf numFmtId="164" fontId="4" fillId="0" borderId="0" xfId="0" applyNumberFormat="1" applyFont="1" applyAlignment="1">
      <alignment horizontal="center" vertical="center" textRotation="180"/>
    </xf>
    <xf numFmtId="164" fontId="5" fillId="0" borderId="0" xfId="2" applyNumberFormat="1" applyFont="1" applyAlignment="1">
      <alignment horizontal="center" vertical="center" textRotation="180"/>
    </xf>
    <xf numFmtId="0" fontId="5" fillId="0" borderId="3" xfId="0" applyFont="1" applyBorder="1" applyAlignment="1">
      <alignment vertical="top"/>
    </xf>
    <xf numFmtId="0" fontId="48" fillId="0" borderId="0" xfId="0" applyFont="1"/>
    <xf numFmtId="0" fontId="52" fillId="0" borderId="0" xfId="1" applyFont="1" applyAlignment="1">
      <alignment vertical="top" wrapText="1"/>
    </xf>
    <xf numFmtId="0" fontId="5" fillId="0" borderId="0" xfId="2" applyFont="1" applyAlignment="1">
      <alignment horizontal="left" vertical="top"/>
    </xf>
    <xf numFmtId="169" fontId="0" fillId="0" borderId="0" xfId="0" applyNumberFormat="1"/>
    <xf numFmtId="0" fontId="2" fillId="0" borderId="0" xfId="0" applyFont="1" applyAlignment="1">
      <alignment horizontal="center" vertical="center" wrapText="1"/>
    </xf>
    <xf numFmtId="164" fontId="4" fillId="0" borderId="0" xfId="0" applyNumberFormat="1" applyFont="1" applyAlignment="1">
      <alignment horizontal="center"/>
    </xf>
    <xf numFmtId="0" fontId="16" fillId="0" borderId="0" xfId="0" applyFont="1" applyAlignment="1">
      <alignment horizontal="left" wrapText="1"/>
    </xf>
    <xf numFmtId="0" fontId="12" fillId="0" borderId="0" xfId="0" applyFont="1" applyAlignment="1">
      <alignment horizontal="left" vertical="top" wrapText="1"/>
    </xf>
    <xf numFmtId="0" fontId="51" fillId="0" borderId="0" xfId="0" applyFont="1" applyAlignment="1">
      <alignment horizontal="left" vertical="top" wrapText="1"/>
    </xf>
    <xf numFmtId="0" fontId="48" fillId="0" borderId="0" xfId="0" applyFont="1" applyAlignment="1">
      <alignment horizontal="left" vertical="top" wrapText="1"/>
    </xf>
    <xf numFmtId="0" fontId="3" fillId="0" borderId="0" xfId="0" applyFont="1" applyAlignment="1">
      <alignment horizontal="center" vertical="center"/>
    </xf>
    <xf numFmtId="0" fontId="52" fillId="0" borderId="0" xfId="1" applyFont="1" applyAlignment="1">
      <alignment horizontal="left" vertical="top" wrapText="1"/>
    </xf>
    <xf numFmtId="164" fontId="4" fillId="0" borderId="0" xfId="0" applyNumberFormat="1" applyFont="1" applyAlignment="1">
      <alignment horizontal="center" vertical="center" textRotation="180"/>
    </xf>
    <xf numFmtId="0" fontId="6" fillId="0" borderId="0" xfId="0" applyFont="1" applyAlignment="1">
      <alignment horizontal="left"/>
    </xf>
    <xf numFmtId="0" fontId="6" fillId="0" borderId="1" xfId="0" applyFont="1" applyBorder="1" applyAlignment="1">
      <alignment horizontal="left" vertical="center"/>
    </xf>
    <xf numFmtId="0" fontId="5" fillId="0" borderId="3" xfId="0" applyFont="1" applyBorder="1" applyAlignment="1">
      <alignment horizontal="left" vertical="top"/>
    </xf>
    <xf numFmtId="164" fontId="4" fillId="0" borderId="0" xfId="2" applyNumberFormat="1" applyFont="1" applyAlignment="1">
      <alignment horizontal="center" vertical="center" textRotation="180"/>
    </xf>
    <xf numFmtId="0" fontId="6" fillId="0" borderId="0" xfId="2" applyFont="1" applyAlignment="1">
      <alignment horizontal="left"/>
    </xf>
    <xf numFmtId="0" fontId="6" fillId="0" borderId="1" xfId="2" applyFont="1" applyBorder="1" applyAlignment="1">
      <alignment horizontal="left" vertical="center"/>
    </xf>
    <xf numFmtId="0" fontId="7" fillId="0" borderId="3" xfId="2" applyFont="1" applyBorder="1" applyAlignment="1">
      <alignment horizontal="left" vertical="top" wrapText="1"/>
    </xf>
    <xf numFmtId="164" fontId="5" fillId="0" borderId="0" xfId="2" applyNumberFormat="1" applyFont="1" applyAlignment="1">
      <alignment horizontal="center" vertical="center" textRotation="180"/>
    </xf>
    <xf numFmtId="0" fontId="5" fillId="0" borderId="3" xfId="2" applyFont="1" applyBorder="1" applyAlignment="1">
      <alignment horizontal="left" vertical="top"/>
    </xf>
    <xf numFmtId="0" fontId="8" fillId="0" borderId="0" xfId="0" applyFont="1" applyAlignment="1">
      <alignment horizontal="left" vertical="top"/>
    </xf>
    <xf numFmtId="0" fontId="42" fillId="0" borderId="0" xfId="0" applyFont="1"/>
    <xf numFmtId="0" fontId="5" fillId="0" borderId="0" xfId="0" applyFont="1" applyAlignment="1">
      <alignment horizontal="left" vertical="top"/>
    </xf>
    <xf numFmtId="0" fontId="0" fillId="0" borderId="0" xfId="0"/>
    <xf numFmtId="0" fontId="8" fillId="0" borderId="3" xfId="0" applyFont="1" applyBorder="1" applyAlignment="1">
      <alignment horizontal="left" vertical="top"/>
    </xf>
    <xf numFmtId="0" fontId="7" fillId="0" borderId="3" xfId="0" applyFont="1" applyBorder="1" applyAlignment="1">
      <alignment horizontal="left" vertical="top" wrapText="1"/>
    </xf>
    <xf numFmtId="0" fontId="5" fillId="0" borderId="0" xfId="0" applyFont="1" applyAlignment="1">
      <alignment horizontal="left" vertical="top" wrapText="1"/>
    </xf>
    <xf numFmtId="0" fontId="5" fillId="0" borderId="3" xfId="0" applyFont="1" applyBorder="1" applyAlignment="1">
      <alignment horizontal="left"/>
    </xf>
    <xf numFmtId="0" fontId="49" fillId="0" borderId="0" xfId="0" applyFont="1" applyAlignment="1">
      <alignment horizontal="left" vertical="top"/>
    </xf>
    <xf numFmtId="0" fontId="50" fillId="0" borderId="0" xfId="0" applyFont="1"/>
    <xf numFmtId="0" fontId="0" fillId="0" borderId="3" xfId="0" applyBorder="1"/>
    <xf numFmtId="0" fontId="42" fillId="0" borderId="0" xfId="0" applyFont="1" applyAlignment="1">
      <alignment vertical="top"/>
    </xf>
    <xf numFmtId="0" fontId="0" fillId="0" borderId="0" xfId="0" applyAlignment="1">
      <alignment vertical="top"/>
    </xf>
    <xf numFmtId="0" fontId="7" fillId="0" borderId="2"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5" fillId="0" borderId="3" xfId="0" applyFont="1" applyBorder="1" applyAlignment="1">
      <alignment horizontal="left" vertical="top" wrapText="1"/>
    </xf>
    <xf numFmtId="0" fontId="7" fillId="0" borderId="0" xfId="0" applyFont="1" applyAlignment="1">
      <alignment horizontal="left" vertical="center" wrapText="1"/>
    </xf>
    <xf numFmtId="0" fontId="7" fillId="0" borderId="3" xfId="0" applyFont="1" applyBorder="1" applyAlignment="1">
      <alignment horizontal="center" vertical="center"/>
    </xf>
    <xf numFmtId="0" fontId="7" fillId="0" borderId="3" xfId="0" applyFont="1" applyBorder="1" applyAlignment="1">
      <alignment horizontal="center" vertical="center" wrapText="1"/>
    </xf>
    <xf numFmtId="0" fontId="8" fillId="0" borderId="0" xfId="0" applyFont="1" applyAlignment="1">
      <alignment horizontal="left" vertical="center" wrapText="1"/>
    </xf>
    <xf numFmtId="0" fontId="6" fillId="0" borderId="0" xfId="0" applyFont="1" applyAlignment="1">
      <alignment horizontal="left" vertical="center" wrapText="1"/>
    </xf>
  </cellXfs>
  <cellStyles count="190">
    <cellStyle name="20 % - Akzent1 2" xfId="3" xr:uid="{00000000-0005-0000-0000-000000000000}"/>
    <cellStyle name="20 % - Akzent1 3" xfId="4" xr:uid="{00000000-0005-0000-0000-000001000000}"/>
    <cellStyle name="20 % - Akzent1 4" xfId="5" xr:uid="{00000000-0005-0000-0000-000002000000}"/>
    <cellStyle name="20 % - Akzent1 5" xfId="6" xr:uid="{00000000-0005-0000-0000-000003000000}"/>
    <cellStyle name="20 % - Akzent1 6" xfId="7" xr:uid="{00000000-0005-0000-0000-000004000000}"/>
    <cellStyle name="20 % - Akzent2 2" xfId="8" xr:uid="{00000000-0005-0000-0000-000005000000}"/>
    <cellStyle name="20 % - Akzent2 3" xfId="9" xr:uid="{00000000-0005-0000-0000-000006000000}"/>
    <cellStyle name="20 % - Akzent2 4" xfId="10" xr:uid="{00000000-0005-0000-0000-000007000000}"/>
    <cellStyle name="20 % - Akzent2 5" xfId="11" xr:uid="{00000000-0005-0000-0000-000008000000}"/>
    <cellStyle name="20 % - Akzent2 6" xfId="12" xr:uid="{00000000-0005-0000-0000-000009000000}"/>
    <cellStyle name="20 % - Akzent3 2" xfId="13" xr:uid="{00000000-0005-0000-0000-00000A000000}"/>
    <cellStyle name="20 % - Akzent3 3" xfId="14" xr:uid="{00000000-0005-0000-0000-00000B000000}"/>
    <cellStyle name="20 % - Akzent3 4" xfId="15" xr:uid="{00000000-0005-0000-0000-00000C000000}"/>
    <cellStyle name="20 % - Akzent3 5" xfId="16" xr:uid="{00000000-0005-0000-0000-00000D000000}"/>
    <cellStyle name="20 % - Akzent3 6" xfId="17" xr:uid="{00000000-0005-0000-0000-00000E000000}"/>
    <cellStyle name="20 % - Akzent4 2" xfId="18" xr:uid="{00000000-0005-0000-0000-00000F000000}"/>
    <cellStyle name="20 % - Akzent4 3" xfId="19" xr:uid="{00000000-0005-0000-0000-000010000000}"/>
    <cellStyle name="20 % - Akzent4 4" xfId="20" xr:uid="{00000000-0005-0000-0000-000011000000}"/>
    <cellStyle name="20 % - Akzent4 5" xfId="21" xr:uid="{00000000-0005-0000-0000-000012000000}"/>
    <cellStyle name="20 % - Akzent4 6" xfId="22" xr:uid="{00000000-0005-0000-0000-000013000000}"/>
    <cellStyle name="20 % - Akzent5 2" xfId="23" xr:uid="{00000000-0005-0000-0000-000014000000}"/>
    <cellStyle name="20 % - Akzent5 3" xfId="24" xr:uid="{00000000-0005-0000-0000-000015000000}"/>
    <cellStyle name="20 % - Akzent5 4" xfId="25" xr:uid="{00000000-0005-0000-0000-000016000000}"/>
    <cellStyle name="20 % - Akzent5 5" xfId="26" xr:uid="{00000000-0005-0000-0000-000017000000}"/>
    <cellStyle name="20 % - Akzent5 6" xfId="27" xr:uid="{00000000-0005-0000-0000-000018000000}"/>
    <cellStyle name="20 % - Akzent6 2" xfId="28" xr:uid="{00000000-0005-0000-0000-000019000000}"/>
    <cellStyle name="20 % - Akzent6 3" xfId="29" xr:uid="{00000000-0005-0000-0000-00001A000000}"/>
    <cellStyle name="20 % - Akzent6 4" xfId="30" xr:uid="{00000000-0005-0000-0000-00001B000000}"/>
    <cellStyle name="20 % - Akzent6 5" xfId="31" xr:uid="{00000000-0005-0000-0000-00001C000000}"/>
    <cellStyle name="20 % - Akzent6 6" xfId="32" xr:uid="{00000000-0005-0000-0000-00001D000000}"/>
    <cellStyle name="20% - Akzent1" xfId="33" xr:uid="{00000000-0005-0000-0000-00001E000000}"/>
    <cellStyle name="20% - Akzent2" xfId="34" xr:uid="{00000000-0005-0000-0000-00001F000000}"/>
    <cellStyle name="20% - Akzent3" xfId="35" xr:uid="{00000000-0005-0000-0000-000020000000}"/>
    <cellStyle name="20% - Akzent4" xfId="36" xr:uid="{00000000-0005-0000-0000-000021000000}"/>
    <cellStyle name="20% - Akzent5" xfId="37" xr:uid="{00000000-0005-0000-0000-000022000000}"/>
    <cellStyle name="20% - Akzent6" xfId="38" xr:uid="{00000000-0005-0000-0000-000023000000}"/>
    <cellStyle name="4" xfId="39" xr:uid="{00000000-0005-0000-0000-000024000000}"/>
    <cellStyle name="4_5225402107005(1)" xfId="40" xr:uid="{00000000-0005-0000-0000-000025000000}"/>
    <cellStyle name="4_DeckblattNeu" xfId="41" xr:uid="{00000000-0005-0000-0000-000026000000}"/>
    <cellStyle name="4_III_Tagesbetreuung_2010_Rev1" xfId="42" xr:uid="{00000000-0005-0000-0000-000027000000}"/>
    <cellStyle name="4_leertabellen_teil_iii" xfId="43" xr:uid="{00000000-0005-0000-0000-000028000000}"/>
    <cellStyle name="4_Merkmalsuebersicht_neu" xfId="44" xr:uid="{00000000-0005-0000-0000-000029000000}"/>
    <cellStyle name="4_Tab_III_1_1-10_neu_Endgueltig" xfId="45" xr:uid="{00000000-0005-0000-0000-00002A000000}"/>
    <cellStyle name="4_tabellen_teil_iii_2011_l12" xfId="46" xr:uid="{00000000-0005-0000-0000-00002B000000}"/>
    <cellStyle name="40 % - Akzent1 2" xfId="47" xr:uid="{00000000-0005-0000-0000-00002C000000}"/>
    <cellStyle name="40 % - Akzent1 3" xfId="48" xr:uid="{00000000-0005-0000-0000-00002D000000}"/>
    <cellStyle name="40 % - Akzent1 4" xfId="49" xr:uid="{00000000-0005-0000-0000-00002E000000}"/>
    <cellStyle name="40 % - Akzent1 5" xfId="50" xr:uid="{00000000-0005-0000-0000-00002F000000}"/>
    <cellStyle name="40 % - Akzent1 6" xfId="51" xr:uid="{00000000-0005-0000-0000-000030000000}"/>
    <cellStyle name="40 % - Akzent2 2" xfId="52" xr:uid="{00000000-0005-0000-0000-000031000000}"/>
    <cellStyle name="40 % - Akzent2 3" xfId="53" xr:uid="{00000000-0005-0000-0000-000032000000}"/>
    <cellStyle name="40 % - Akzent2 4" xfId="54" xr:uid="{00000000-0005-0000-0000-000033000000}"/>
    <cellStyle name="40 % - Akzent2 5" xfId="55" xr:uid="{00000000-0005-0000-0000-000034000000}"/>
    <cellStyle name="40 % - Akzent2 6" xfId="56" xr:uid="{00000000-0005-0000-0000-000035000000}"/>
    <cellStyle name="40 % - Akzent3 2" xfId="57" xr:uid="{00000000-0005-0000-0000-000036000000}"/>
    <cellStyle name="40 % - Akzent3 3" xfId="58" xr:uid="{00000000-0005-0000-0000-000037000000}"/>
    <cellStyle name="40 % - Akzent3 4" xfId="59" xr:uid="{00000000-0005-0000-0000-000038000000}"/>
    <cellStyle name="40 % - Akzent3 5" xfId="60" xr:uid="{00000000-0005-0000-0000-000039000000}"/>
    <cellStyle name="40 % - Akzent3 6" xfId="61" xr:uid="{00000000-0005-0000-0000-00003A000000}"/>
    <cellStyle name="40 % - Akzent4 2" xfId="62" xr:uid="{00000000-0005-0000-0000-00003B000000}"/>
    <cellStyle name="40 % - Akzent4 3" xfId="63" xr:uid="{00000000-0005-0000-0000-00003C000000}"/>
    <cellStyle name="40 % - Akzent4 4" xfId="64" xr:uid="{00000000-0005-0000-0000-00003D000000}"/>
    <cellStyle name="40 % - Akzent4 5" xfId="65" xr:uid="{00000000-0005-0000-0000-00003E000000}"/>
    <cellStyle name="40 % - Akzent4 6" xfId="66" xr:uid="{00000000-0005-0000-0000-00003F000000}"/>
    <cellStyle name="40 % - Akzent5 2" xfId="67" xr:uid="{00000000-0005-0000-0000-000040000000}"/>
    <cellStyle name="40 % - Akzent5 3" xfId="68" xr:uid="{00000000-0005-0000-0000-000041000000}"/>
    <cellStyle name="40 % - Akzent5 4" xfId="69" xr:uid="{00000000-0005-0000-0000-000042000000}"/>
    <cellStyle name="40 % - Akzent5 5" xfId="70" xr:uid="{00000000-0005-0000-0000-000043000000}"/>
    <cellStyle name="40 % - Akzent5 6" xfId="71" xr:uid="{00000000-0005-0000-0000-000044000000}"/>
    <cellStyle name="40 % - Akzent6 2" xfId="72" xr:uid="{00000000-0005-0000-0000-000045000000}"/>
    <cellStyle name="40 % - Akzent6 3" xfId="73" xr:uid="{00000000-0005-0000-0000-000046000000}"/>
    <cellStyle name="40 % - Akzent6 4" xfId="74" xr:uid="{00000000-0005-0000-0000-000047000000}"/>
    <cellStyle name="40 % - Akzent6 5" xfId="75" xr:uid="{00000000-0005-0000-0000-000048000000}"/>
    <cellStyle name="40 % - Akzent6 6" xfId="76" xr:uid="{00000000-0005-0000-0000-000049000000}"/>
    <cellStyle name="40% - Akzent1" xfId="77" xr:uid="{00000000-0005-0000-0000-00004A000000}"/>
    <cellStyle name="40% - Akzent2" xfId="78" xr:uid="{00000000-0005-0000-0000-00004B000000}"/>
    <cellStyle name="40% - Akzent3" xfId="79" xr:uid="{00000000-0005-0000-0000-00004C000000}"/>
    <cellStyle name="40% - Akzent4" xfId="80" xr:uid="{00000000-0005-0000-0000-00004D000000}"/>
    <cellStyle name="40% - Akzent5" xfId="81" xr:uid="{00000000-0005-0000-0000-00004E000000}"/>
    <cellStyle name="40% - Akzent6" xfId="82" xr:uid="{00000000-0005-0000-0000-00004F000000}"/>
    <cellStyle name="5" xfId="83" xr:uid="{00000000-0005-0000-0000-000050000000}"/>
    <cellStyle name="5_5225402107005(1)" xfId="84" xr:uid="{00000000-0005-0000-0000-000051000000}"/>
    <cellStyle name="5_DeckblattNeu" xfId="85" xr:uid="{00000000-0005-0000-0000-000052000000}"/>
    <cellStyle name="5_III_Tagesbetreuung_2010_Rev1" xfId="86" xr:uid="{00000000-0005-0000-0000-000053000000}"/>
    <cellStyle name="5_leertabellen_teil_iii" xfId="87" xr:uid="{00000000-0005-0000-0000-000054000000}"/>
    <cellStyle name="5_Merkmalsuebersicht_neu" xfId="88" xr:uid="{00000000-0005-0000-0000-000055000000}"/>
    <cellStyle name="5_Tab_III_1_1-10_neu_Endgueltig" xfId="89" xr:uid="{00000000-0005-0000-0000-000056000000}"/>
    <cellStyle name="5_tabellen_teil_iii_2011_l12" xfId="90" xr:uid="{00000000-0005-0000-0000-000057000000}"/>
    <cellStyle name="6" xfId="91" xr:uid="{00000000-0005-0000-0000-000058000000}"/>
    <cellStyle name="6_5225402107005(1)" xfId="92" xr:uid="{00000000-0005-0000-0000-000059000000}"/>
    <cellStyle name="6_DeckblattNeu" xfId="93" xr:uid="{00000000-0005-0000-0000-00005A000000}"/>
    <cellStyle name="6_III_Tagesbetreuung_2010_Rev1" xfId="94" xr:uid="{00000000-0005-0000-0000-00005B000000}"/>
    <cellStyle name="6_leertabellen_teil_iii" xfId="95" xr:uid="{00000000-0005-0000-0000-00005C000000}"/>
    <cellStyle name="6_Merkmalsuebersicht_neu" xfId="96" xr:uid="{00000000-0005-0000-0000-00005D000000}"/>
    <cellStyle name="6_Tab_III_1_1-10_neu_Endgueltig" xfId="97" xr:uid="{00000000-0005-0000-0000-00005E000000}"/>
    <cellStyle name="6_tabellen_teil_iii_2011_l12" xfId="98" xr:uid="{00000000-0005-0000-0000-00005F000000}"/>
    <cellStyle name="60 % - Akzent1 2" xfId="99" xr:uid="{00000000-0005-0000-0000-000060000000}"/>
    <cellStyle name="60 % - Akzent1 3" xfId="100" xr:uid="{00000000-0005-0000-0000-000061000000}"/>
    <cellStyle name="60 % - Akzent2 2" xfId="101" xr:uid="{00000000-0005-0000-0000-000062000000}"/>
    <cellStyle name="60 % - Akzent2 3" xfId="102" xr:uid="{00000000-0005-0000-0000-000063000000}"/>
    <cellStyle name="60 % - Akzent3 2" xfId="103" xr:uid="{00000000-0005-0000-0000-000064000000}"/>
    <cellStyle name="60 % - Akzent3 3" xfId="104" xr:uid="{00000000-0005-0000-0000-000065000000}"/>
    <cellStyle name="60 % - Akzent4 2" xfId="105" xr:uid="{00000000-0005-0000-0000-000066000000}"/>
    <cellStyle name="60 % - Akzent4 3" xfId="106" xr:uid="{00000000-0005-0000-0000-000067000000}"/>
    <cellStyle name="60 % - Akzent5 2" xfId="107" xr:uid="{00000000-0005-0000-0000-000068000000}"/>
    <cellStyle name="60 % - Akzent5 3" xfId="108" xr:uid="{00000000-0005-0000-0000-000069000000}"/>
    <cellStyle name="60 % - Akzent6 2" xfId="109" xr:uid="{00000000-0005-0000-0000-00006A000000}"/>
    <cellStyle name="60 % - Akzent6 3" xfId="110" xr:uid="{00000000-0005-0000-0000-00006B000000}"/>
    <cellStyle name="60% - Akzent1" xfId="111" xr:uid="{00000000-0005-0000-0000-00006C000000}"/>
    <cellStyle name="60% - Akzent2" xfId="112" xr:uid="{00000000-0005-0000-0000-00006D000000}"/>
    <cellStyle name="60% - Akzent3" xfId="113" xr:uid="{00000000-0005-0000-0000-00006E000000}"/>
    <cellStyle name="60% - Akzent4" xfId="114" xr:uid="{00000000-0005-0000-0000-00006F000000}"/>
    <cellStyle name="60% - Akzent5" xfId="115" xr:uid="{00000000-0005-0000-0000-000070000000}"/>
    <cellStyle name="60% - Akzent6" xfId="116" xr:uid="{00000000-0005-0000-0000-000071000000}"/>
    <cellStyle name="9" xfId="117" xr:uid="{00000000-0005-0000-0000-000072000000}"/>
    <cellStyle name="9_5225402107005(1)" xfId="118" xr:uid="{00000000-0005-0000-0000-000073000000}"/>
    <cellStyle name="9_DeckblattNeu" xfId="119" xr:uid="{00000000-0005-0000-0000-000074000000}"/>
    <cellStyle name="9_III_Tagesbetreuung_2010_Rev1" xfId="120" xr:uid="{00000000-0005-0000-0000-000075000000}"/>
    <cellStyle name="9_leertabellen_teil_iii" xfId="121" xr:uid="{00000000-0005-0000-0000-000076000000}"/>
    <cellStyle name="9_Merkmalsuebersicht_neu" xfId="122" xr:uid="{00000000-0005-0000-0000-000077000000}"/>
    <cellStyle name="9_Tab_III_1_1-10_neu_Endgueltig" xfId="123" xr:uid="{00000000-0005-0000-0000-000078000000}"/>
    <cellStyle name="9_tabellen_teil_iii_2011_l12" xfId="124" xr:uid="{00000000-0005-0000-0000-000079000000}"/>
    <cellStyle name="Akzent1 2" xfId="125" xr:uid="{00000000-0005-0000-0000-00007A000000}"/>
    <cellStyle name="Akzent1 3" xfId="126" xr:uid="{00000000-0005-0000-0000-00007B000000}"/>
    <cellStyle name="Akzent2 2" xfId="127" xr:uid="{00000000-0005-0000-0000-00007C000000}"/>
    <cellStyle name="Akzent2 3" xfId="128" xr:uid="{00000000-0005-0000-0000-00007D000000}"/>
    <cellStyle name="Akzent3 2" xfId="129" xr:uid="{00000000-0005-0000-0000-00007E000000}"/>
    <cellStyle name="Akzent3 3" xfId="130" xr:uid="{00000000-0005-0000-0000-00007F000000}"/>
    <cellStyle name="Akzent4 2" xfId="131" xr:uid="{00000000-0005-0000-0000-000080000000}"/>
    <cellStyle name="Akzent4 3" xfId="132" xr:uid="{00000000-0005-0000-0000-000081000000}"/>
    <cellStyle name="Akzent5 2" xfId="133" xr:uid="{00000000-0005-0000-0000-000082000000}"/>
    <cellStyle name="Akzent5 3" xfId="134" xr:uid="{00000000-0005-0000-0000-000083000000}"/>
    <cellStyle name="Akzent6 2" xfId="135" xr:uid="{00000000-0005-0000-0000-000084000000}"/>
    <cellStyle name="Akzent6 3" xfId="136" xr:uid="{00000000-0005-0000-0000-000085000000}"/>
    <cellStyle name="Ausgabe 2" xfId="137" xr:uid="{00000000-0005-0000-0000-000086000000}"/>
    <cellStyle name="Ausgabe 3" xfId="138" xr:uid="{00000000-0005-0000-0000-000087000000}"/>
    <cellStyle name="Berechnung 2" xfId="139" xr:uid="{00000000-0005-0000-0000-000088000000}"/>
    <cellStyle name="Berechnung 3" xfId="140" xr:uid="{00000000-0005-0000-0000-000089000000}"/>
    <cellStyle name="Eingabe 2" xfId="141" xr:uid="{00000000-0005-0000-0000-00008A000000}"/>
    <cellStyle name="Eingabe 3" xfId="142" xr:uid="{00000000-0005-0000-0000-00008B000000}"/>
    <cellStyle name="Ergebnis 2" xfId="143" xr:uid="{00000000-0005-0000-0000-00008C000000}"/>
    <cellStyle name="Ergebnis 3" xfId="144" xr:uid="{00000000-0005-0000-0000-00008D000000}"/>
    <cellStyle name="Erklärender Text 2" xfId="145" xr:uid="{00000000-0005-0000-0000-00008E000000}"/>
    <cellStyle name="Erklärender Text 3" xfId="146" xr:uid="{00000000-0005-0000-0000-00008F000000}"/>
    <cellStyle name="Gut 2" xfId="147" xr:uid="{00000000-0005-0000-0000-000090000000}"/>
    <cellStyle name="Gut 3" xfId="148" xr:uid="{00000000-0005-0000-0000-000091000000}"/>
    <cellStyle name="Hyperlink 2" xfId="149" xr:uid="{00000000-0005-0000-0000-000093000000}"/>
    <cellStyle name="Hyperlink 3" xfId="150" xr:uid="{00000000-0005-0000-0000-000094000000}"/>
    <cellStyle name="Hyperlink 4" xfId="151" xr:uid="{00000000-0005-0000-0000-000095000000}"/>
    <cellStyle name="Link" xfId="1" builtinId="8"/>
    <cellStyle name="Neutral 2" xfId="152" xr:uid="{00000000-0005-0000-0000-000096000000}"/>
    <cellStyle name="Neutral 3" xfId="153" xr:uid="{00000000-0005-0000-0000-000097000000}"/>
    <cellStyle name="Notiz 2" xfId="154" xr:uid="{00000000-0005-0000-0000-000098000000}"/>
    <cellStyle name="Notiz 3" xfId="155" xr:uid="{00000000-0005-0000-0000-000099000000}"/>
    <cellStyle name="Notiz 4" xfId="156" xr:uid="{00000000-0005-0000-0000-00009A000000}"/>
    <cellStyle name="Notiz 5" xfId="157" xr:uid="{00000000-0005-0000-0000-00009B000000}"/>
    <cellStyle name="Notiz 6" xfId="158" xr:uid="{00000000-0005-0000-0000-00009C000000}"/>
    <cellStyle name="Notiz 7" xfId="159" xr:uid="{00000000-0005-0000-0000-00009D000000}"/>
    <cellStyle name="Prozent 2" xfId="160" xr:uid="{00000000-0005-0000-0000-00009E000000}"/>
    <cellStyle name="Schlecht 2" xfId="161" xr:uid="{00000000-0005-0000-0000-00009F000000}"/>
    <cellStyle name="Schlecht 3" xfId="162" xr:uid="{00000000-0005-0000-0000-0000A0000000}"/>
    <cellStyle name="Standard" xfId="0" builtinId="0"/>
    <cellStyle name="Standard 10" xfId="2" xr:uid="{00000000-0005-0000-0000-0000A2000000}"/>
    <cellStyle name="Standard 2" xfId="163" xr:uid="{00000000-0005-0000-0000-0000A3000000}"/>
    <cellStyle name="Standard 2 2" xfId="164" xr:uid="{00000000-0005-0000-0000-0000A4000000}"/>
    <cellStyle name="Standard 2 2 2" xfId="165" xr:uid="{00000000-0005-0000-0000-0000A5000000}"/>
    <cellStyle name="Standard 2 3" xfId="166" xr:uid="{00000000-0005-0000-0000-0000A6000000}"/>
    <cellStyle name="Standard 2 4" xfId="167" xr:uid="{00000000-0005-0000-0000-0000A7000000}"/>
    <cellStyle name="Standard 3" xfId="168" xr:uid="{00000000-0005-0000-0000-0000A8000000}"/>
    <cellStyle name="Standard 3 2" xfId="169" xr:uid="{00000000-0005-0000-0000-0000A9000000}"/>
    <cellStyle name="Standard 4" xfId="170" xr:uid="{00000000-0005-0000-0000-0000AA000000}"/>
    <cellStyle name="Standard 4 2" xfId="171" xr:uid="{00000000-0005-0000-0000-0000AB000000}"/>
    <cellStyle name="Standard 4 2 2" xfId="172" xr:uid="{00000000-0005-0000-0000-0000AC000000}"/>
    <cellStyle name="Standard 5" xfId="173" xr:uid="{00000000-0005-0000-0000-0000AD000000}"/>
    <cellStyle name="Standard 6" xfId="174" xr:uid="{00000000-0005-0000-0000-0000AE000000}"/>
    <cellStyle name="Standard 6 2" xfId="175" xr:uid="{00000000-0005-0000-0000-0000AF000000}"/>
    <cellStyle name="Standard 7" xfId="176" xr:uid="{00000000-0005-0000-0000-0000B0000000}"/>
    <cellStyle name="Standard 8" xfId="177" xr:uid="{00000000-0005-0000-0000-0000B1000000}"/>
    <cellStyle name="Standard 9" xfId="178" xr:uid="{00000000-0005-0000-0000-0000B2000000}"/>
    <cellStyle name="Standard_SP2009_Bundestabellen" xfId="189" xr:uid="{00000000-0005-0000-0000-0000B3000000}"/>
    <cellStyle name="Überschrift 1 2" xfId="179" xr:uid="{00000000-0005-0000-0000-0000B4000000}"/>
    <cellStyle name="Überschrift 2 2" xfId="180" xr:uid="{00000000-0005-0000-0000-0000B5000000}"/>
    <cellStyle name="Überschrift 3 2" xfId="181" xr:uid="{00000000-0005-0000-0000-0000B6000000}"/>
    <cellStyle name="Überschrift 4 2" xfId="182" xr:uid="{00000000-0005-0000-0000-0000B7000000}"/>
    <cellStyle name="Verknüpfte Zelle 2" xfId="183" xr:uid="{00000000-0005-0000-0000-0000B8000000}"/>
    <cellStyle name="Verknüpfte Zelle 3" xfId="184" xr:uid="{00000000-0005-0000-0000-0000B9000000}"/>
    <cellStyle name="Warnender Text 2" xfId="185" xr:uid="{00000000-0005-0000-0000-0000BA000000}"/>
    <cellStyle name="Warnender Text 3" xfId="186" xr:uid="{00000000-0005-0000-0000-0000BB000000}"/>
    <cellStyle name="Zelle überprüfen 2" xfId="187" xr:uid="{00000000-0005-0000-0000-0000BC000000}"/>
    <cellStyle name="Zelle überprüfen 3" xfId="188" xr:uid="{00000000-0005-0000-0000-0000BD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
  <dimension ref="A21:H59"/>
  <sheetViews>
    <sheetView tabSelected="1" view="pageBreakPreview" zoomScale="60" zoomScaleNormal="100" workbookViewId="0">
      <selection activeCell="J27" sqref="J27"/>
    </sheetView>
  </sheetViews>
  <sheetFormatPr baseColWidth="10" defaultRowHeight="12.75"/>
  <cols>
    <col min="1" max="1" width="11.42578125" customWidth="1"/>
    <col min="7" max="7" width="20.42578125" customWidth="1"/>
  </cols>
  <sheetData>
    <row r="21" spans="1:8" ht="50.25" customHeight="1">
      <c r="A21" s="160" t="s">
        <v>114</v>
      </c>
      <c r="B21" s="160"/>
      <c r="C21" s="160"/>
      <c r="D21" s="160"/>
      <c r="E21" s="160"/>
      <c r="F21" s="160"/>
      <c r="G21" s="160"/>
      <c r="H21" s="1"/>
    </row>
    <row r="26" spans="1:8" ht="14.25" customHeight="1"/>
    <row r="27" spans="1:8" ht="106.9" customHeight="1">
      <c r="A27" s="136"/>
      <c r="B27" s="137"/>
      <c r="C27" s="137"/>
      <c r="D27" s="137"/>
      <c r="E27" s="137"/>
      <c r="F27" s="137"/>
      <c r="G27" s="137"/>
      <c r="H27" s="2"/>
    </row>
    <row r="36" spans="1:7" ht="27.75" customHeight="1">
      <c r="A36" s="138"/>
      <c r="B36" s="6"/>
      <c r="C36" s="6"/>
      <c r="D36" s="6"/>
      <c r="E36" s="6"/>
      <c r="F36" s="6"/>
      <c r="G36" s="6"/>
    </row>
    <row r="37" spans="1:7" ht="3" customHeight="1"/>
    <row r="38" spans="1:7" ht="7.5" hidden="1" customHeight="1"/>
    <row r="39" spans="1:7" ht="9" hidden="1" customHeight="1"/>
    <row r="40" spans="1:7" ht="6.75" hidden="1" customHeight="1"/>
    <row r="41" spans="1:7" ht="6.75" hidden="1" customHeight="1"/>
    <row r="42" spans="1:7" hidden="1"/>
    <row r="43" spans="1:7" ht="3.75" hidden="1" customHeight="1"/>
    <row r="44" spans="1:7" ht="6.75" hidden="1" customHeight="1"/>
    <row r="45" spans="1:7" hidden="1"/>
    <row r="46" spans="1:7" ht="5.25" hidden="1" customHeight="1"/>
    <row r="47" spans="1:7" ht="9" hidden="1" customHeight="1"/>
    <row r="48" spans="1:7" hidden="1"/>
    <row r="49" spans="1:7" hidden="1"/>
    <row r="50" spans="1:7" hidden="1"/>
    <row r="51" spans="1:7" ht="25.5" hidden="1" customHeight="1"/>
    <row r="55" spans="1:7" ht="14.25" customHeight="1"/>
    <row r="59" spans="1:7" ht="13.5">
      <c r="A59" s="161">
        <v>46</v>
      </c>
      <c r="B59" s="161"/>
      <c r="C59" s="161"/>
      <c r="D59" s="161"/>
      <c r="E59" s="161"/>
      <c r="F59" s="161"/>
      <c r="G59" s="161"/>
    </row>
  </sheetData>
  <mergeCells count="2">
    <mergeCell ref="A21:G21"/>
    <mergeCell ref="A59:G59"/>
  </mergeCells>
  <printOptions horizontalCentered="1"/>
  <pageMargins left="0.23622047244094491" right="0.23622047244094491" top="0.74803149606299213" bottom="0.74803149606299213" header="0.31496062992125984" footer="0.31496062992125984"/>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2"/>
  <dimension ref="A1:P45"/>
  <sheetViews>
    <sheetView view="pageBreakPreview" topLeftCell="A17" zoomScale="90" zoomScaleNormal="100" zoomScaleSheetLayoutView="90" workbookViewId="0">
      <selection activeCell="J27" sqref="J27"/>
    </sheetView>
  </sheetViews>
  <sheetFormatPr baseColWidth="10" defaultRowHeight="12.75"/>
  <cols>
    <col min="1" max="1" width="4.28515625" customWidth="1"/>
    <col min="7" max="7" width="13.5703125" customWidth="1"/>
    <col min="8" max="8" width="10.7109375" customWidth="1"/>
    <col min="9" max="9" width="4.28515625" customWidth="1"/>
  </cols>
  <sheetData>
    <row r="1" spans="1:16" ht="15.75">
      <c r="A1" s="99" t="s">
        <v>92</v>
      </c>
      <c r="B1" s="99"/>
      <c r="C1" s="99"/>
      <c r="D1" s="99"/>
      <c r="E1" s="99"/>
      <c r="F1" s="99"/>
      <c r="G1" s="99"/>
      <c r="H1" s="108" t="s">
        <v>93</v>
      </c>
      <c r="I1" s="99" t="s">
        <v>92</v>
      </c>
      <c r="J1" s="99"/>
      <c r="K1" s="99"/>
      <c r="L1" s="99"/>
      <c r="M1" s="99"/>
      <c r="N1" s="99"/>
      <c r="O1" s="99"/>
      <c r="P1" s="108" t="s">
        <v>93</v>
      </c>
    </row>
    <row r="3" spans="1:16" ht="17.100000000000001" customHeight="1">
      <c r="A3" s="98" t="s">
        <v>0</v>
      </c>
      <c r="B3" s="97"/>
      <c r="I3" s="98" t="s">
        <v>101</v>
      </c>
      <c r="J3" s="162" t="s">
        <v>157</v>
      </c>
      <c r="K3" s="162"/>
      <c r="L3" s="162"/>
      <c r="M3" s="162"/>
      <c r="N3" s="162"/>
      <c r="O3" s="162"/>
      <c r="P3" s="162"/>
    </row>
    <row r="4" spans="1:16" ht="17.100000000000001" customHeight="1">
      <c r="A4" s="97"/>
      <c r="B4" s="103" t="s">
        <v>96</v>
      </c>
      <c r="H4">
        <f>'Z1'!A59</f>
        <v>50</v>
      </c>
      <c r="J4" s="162"/>
      <c r="K4" s="162"/>
      <c r="L4" s="162"/>
      <c r="M4" s="162"/>
      <c r="N4" s="162"/>
      <c r="O4" s="162"/>
      <c r="P4" s="162"/>
    </row>
    <row r="5" spans="1:16" ht="17.100000000000001" customHeight="1">
      <c r="A5" s="97"/>
      <c r="B5" s="100"/>
    </row>
    <row r="6" spans="1:16" ht="17.100000000000001" customHeight="1">
      <c r="A6" s="98" t="s">
        <v>97</v>
      </c>
      <c r="B6" s="104" t="s">
        <v>156</v>
      </c>
      <c r="I6" s="98" t="s">
        <v>102</v>
      </c>
      <c r="J6" s="98" t="s">
        <v>103</v>
      </c>
      <c r="K6" s="97"/>
      <c r="L6" s="97"/>
      <c r="M6" s="97"/>
      <c r="N6" s="97"/>
      <c r="O6" s="97"/>
    </row>
    <row r="7" spans="1:16" ht="17.100000000000001" customHeight="1">
      <c r="A7" s="98"/>
      <c r="B7" s="101"/>
      <c r="I7" s="97"/>
      <c r="J7" s="97"/>
      <c r="K7" s="97"/>
      <c r="L7" s="97"/>
      <c r="M7" s="97"/>
      <c r="N7" s="97"/>
      <c r="O7" s="97"/>
    </row>
    <row r="8" spans="1:16" ht="17.100000000000001" customHeight="1">
      <c r="A8" s="98" t="s">
        <v>98</v>
      </c>
      <c r="B8" s="102" t="s">
        <v>118</v>
      </c>
      <c r="I8" s="97"/>
      <c r="J8" s="97" t="s">
        <v>99</v>
      </c>
      <c r="K8" s="97"/>
      <c r="L8" s="97"/>
      <c r="M8" s="97"/>
      <c r="N8" s="97"/>
      <c r="O8" s="97"/>
      <c r="P8">
        <v>240</v>
      </c>
    </row>
    <row r="9" spans="1:16" ht="17.100000000000001" customHeight="1">
      <c r="A9" s="97"/>
      <c r="B9" s="100"/>
      <c r="I9" s="97"/>
      <c r="J9" s="97" t="s">
        <v>21</v>
      </c>
      <c r="K9" s="97"/>
      <c r="L9" s="97"/>
      <c r="M9" s="97"/>
      <c r="N9" s="97"/>
      <c r="O9" s="97"/>
      <c r="P9">
        <v>246</v>
      </c>
    </row>
    <row r="10" spans="1:16" ht="17.100000000000001" customHeight="1">
      <c r="A10" s="97"/>
      <c r="B10" s="97" t="s">
        <v>99</v>
      </c>
      <c r="H10">
        <v>49</v>
      </c>
      <c r="I10" s="97"/>
      <c r="J10" s="105" t="s">
        <v>106</v>
      </c>
      <c r="K10" s="97"/>
      <c r="L10" s="97"/>
      <c r="M10" s="97"/>
      <c r="N10" s="97"/>
      <c r="O10" s="97"/>
      <c r="P10">
        <v>252</v>
      </c>
    </row>
    <row r="11" spans="1:16" ht="17.100000000000001" customHeight="1">
      <c r="A11" s="98"/>
      <c r="B11" s="101" t="s">
        <v>6</v>
      </c>
      <c r="H11">
        <v>51</v>
      </c>
      <c r="I11" s="97"/>
      <c r="J11" s="105" t="s">
        <v>105</v>
      </c>
      <c r="K11" s="97"/>
      <c r="L11" s="97"/>
      <c r="M11" s="97"/>
      <c r="N11" s="97"/>
      <c r="O11" s="97"/>
      <c r="P11">
        <v>256</v>
      </c>
    </row>
    <row r="12" spans="1:16" ht="17.100000000000001" customHeight="1">
      <c r="A12" s="97"/>
      <c r="B12" s="100" t="s">
        <v>123</v>
      </c>
      <c r="H12">
        <v>53</v>
      </c>
      <c r="I12" s="97"/>
      <c r="J12" s="105" t="s">
        <v>104</v>
      </c>
      <c r="K12" s="97"/>
      <c r="L12" s="97"/>
      <c r="M12" s="97"/>
      <c r="N12" s="97"/>
      <c r="O12" s="97"/>
      <c r="P12">
        <v>266</v>
      </c>
    </row>
    <row r="13" spans="1:16" ht="17.100000000000001" customHeight="1">
      <c r="A13" s="97"/>
      <c r="B13" s="100" t="s">
        <v>124</v>
      </c>
      <c r="H13">
        <v>55</v>
      </c>
      <c r="I13" s="97"/>
      <c r="J13" s="97" t="s">
        <v>25</v>
      </c>
      <c r="K13" s="97"/>
      <c r="L13" s="97"/>
      <c r="M13" s="97"/>
      <c r="N13" s="97"/>
      <c r="O13" s="97"/>
      <c r="P13">
        <v>270</v>
      </c>
    </row>
    <row r="14" spans="1:16" ht="17.100000000000001" customHeight="1">
      <c r="A14" s="97"/>
      <c r="B14" s="101" t="s">
        <v>125</v>
      </c>
      <c r="H14">
        <v>61</v>
      </c>
      <c r="I14" s="97"/>
      <c r="J14" s="97" t="s">
        <v>26</v>
      </c>
      <c r="K14" s="97"/>
      <c r="L14" s="97"/>
      <c r="M14" s="97"/>
      <c r="N14" s="97"/>
      <c r="O14" s="97"/>
      <c r="P14">
        <v>274</v>
      </c>
    </row>
    <row r="15" spans="1:16" ht="17.100000000000001" customHeight="1">
      <c r="A15" s="98"/>
      <c r="B15" s="101" t="s">
        <v>3</v>
      </c>
      <c r="H15">
        <v>71</v>
      </c>
      <c r="I15" s="97"/>
      <c r="J15" s="97" t="s">
        <v>107</v>
      </c>
      <c r="K15" s="97"/>
      <c r="L15" s="97"/>
      <c r="M15" s="97"/>
      <c r="N15" s="97"/>
      <c r="O15" s="97"/>
      <c r="P15">
        <v>284</v>
      </c>
    </row>
    <row r="16" spans="1:16" ht="17.100000000000001" customHeight="1">
      <c r="A16" s="97"/>
      <c r="B16" s="101" t="s">
        <v>100</v>
      </c>
      <c r="H16">
        <v>73</v>
      </c>
      <c r="I16" s="97"/>
      <c r="J16" s="97" t="s">
        <v>28</v>
      </c>
      <c r="K16" s="97"/>
      <c r="L16" s="97"/>
      <c r="M16" s="97"/>
      <c r="N16" s="97"/>
      <c r="O16" s="97"/>
      <c r="P16">
        <v>294</v>
      </c>
    </row>
    <row r="17" spans="1:16" ht="17.100000000000001" customHeight="1">
      <c r="A17" s="97"/>
      <c r="B17" s="100"/>
      <c r="I17" s="97"/>
      <c r="J17" s="97" t="s">
        <v>29</v>
      </c>
      <c r="K17" s="97"/>
      <c r="L17" s="97"/>
      <c r="M17" s="97"/>
      <c r="N17" s="97"/>
      <c r="O17" s="97"/>
      <c r="P17">
        <v>297</v>
      </c>
    </row>
    <row r="18" spans="1:16" ht="17.100000000000001" customHeight="1">
      <c r="A18" s="98" t="s">
        <v>101</v>
      </c>
      <c r="B18" s="162" t="s">
        <v>157</v>
      </c>
      <c r="C18" s="162"/>
      <c r="D18" s="162"/>
      <c r="E18" s="162"/>
      <c r="F18" s="162"/>
      <c r="G18" s="162"/>
      <c r="H18" s="162"/>
      <c r="I18" s="97"/>
      <c r="J18" s="97" t="s">
        <v>30</v>
      </c>
      <c r="K18" s="97"/>
      <c r="L18" s="97"/>
      <c r="M18" s="97"/>
      <c r="N18" s="97"/>
      <c r="O18" s="97"/>
      <c r="P18">
        <v>307</v>
      </c>
    </row>
    <row r="19" spans="1:16" ht="17.100000000000001" customHeight="1">
      <c r="A19" s="98"/>
      <c r="B19" s="162"/>
      <c r="C19" s="162"/>
      <c r="D19" s="162"/>
      <c r="E19" s="162"/>
      <c r="F19" s="162"/>
      <c r="G19" s="162"/>
      <c r="H19" s="162"/>
      <c r="I19" s="97"/>
      <c r="J19" s="97" t="s">
        <v>31</v>
      </c>
      <c r="K19" s="97"/>
      <c r="L19" s="97"/>
      <c r="M19" s="97"/>
      <c r="N19" s="97"/>
      <c r="O19" s="97"/>
      <c r="P19">
        <v>317</v>
      </c>
    </row>
    <row r="20" spans="1:16" ht="17.100000000000001" customHeight="1">
      <c r="A20" s="97"/>
      <c r="B20" s="100"/>
      <c r="I20" s="97"/>
      <c r="J20" s="97" t="s">
        <v>108</v>
      </c>
      <c r="K20" s="97"/>
      <c r="L20" s="97"/>
      <c r="M20" s="97"/>
      <c r="N20" s="97"/>
      <c r="O20" s="97"/>
      <c r="P20">
        <v>325</v>
      </c>
    </row>
    <row r="21" spans="1:16" ht="17.100000000000001" customHeight="1">
      <c r="A21" s="98" t="s">
        <v>98</v>
      </c>
      <c r="B21" s="102" t="s">
        <v>119</v>
      </c>
      <c r="I21" s="97"/>
      <c r="J21" s="97"/>
      <c r="K21" s="97"/>
      <c r="L21" s="97"/>
      <c r="M21" s="97"/>
      <c r="N21" s="97"/>
      <c r="O21" s="97"/>
    </row>
    <row r="22" spans="1:16" ht="17.100000000000001" customHeight="1">
      <c r="A22" s="97"/>
      <c r="B22" s="101"/>
      <c r="I22" s="98" t="s">
        <v>109</v>
      </c>
      <c r="J22" s="98" t="s">
        <v>158</v>
      </c>
      <c r="K22" s="97"/>
      <c r="L22" s="97"/>
      <c r="M22" s="97"/>
      <c r="N22" s="97"/>
      <c r="O22" s="97"/>
    </row>
    <row r="23" spans="1:16" ht="17.100000000000001" customHeight="1">
      <c r="A23" s="98"/>
      <c r="B23" s="100" t="s">
        <v>99</v>
      </c>
      <c r="H23">
        <v>82</v>
      </c>
      <c r="I23" s="97"/>
      <c r="J23" s="97"/>
      <c r="K23" s="97"/>
      <c r="L23" s="97"/>
      <c r="M23" s="97"/>
      <c r="N23" s="97"/>
      <c r="O23" s="97"/>
    </row>
    <row r="24" spans="1:16" ht="17.100000000000001" customHeight="1">
      <c r="A24" s="97"/>
      <c r="B24" s="100" t="s">
        <v>7</v>
      </c>
      <c r="H24">
        <v>84</v>
      </c>
      <c r="I24" s="98" t="s">
        <v>98</v>
      </c>
      <c r="J24" s="98" t="s">
        <v>119</v>
      </c>
      <c r="K24" s="97"/>
      <c r="L24" s="97"/>
      <c r="M24" s="97"/>
      <c r="N24" s="97"/>
      <c r="O24" s="97"/>
    </row>
    <row r="25" spans="1:16" ht="17.100000000000001" customHeight="1">
      <c r="A25" s="97"/>
      <c r="B25" s="100" t="s">
        <v>8</v>
      </c>
      <c r="H25">
        <v>92</v>
      </c>
      <c r="I25" s="97"/>
      <c r="J25" s="97"/>
      <c r="K25" s="97"/>
      <c r="L25" s="97"/>
      <c r="M25" s="97"/>
      <c r="N25" s="97"/>
      <c r="O25" s="97"/>
    </row>
    <row r="26" spans="1:16" ht="17.100000000000001" customHeight="1">
      <c r="A26" s="97"/>
      <c r="B26" s="101" t="s">
        <v>9</v>
      </c>
      <c r="H26">
        <v>100</v>
      </c>
      <c r="I26" s="97"/>
      <c r="J26" s="97" t="s">
        <v>164</v>
      </c>
      <c r="K26" s="97"/>
      <c r="L26" s="97"/>
      <c r="M26" s="97"/>
      <c r="N26" s="97"/>
      <c r="O26" s="97"/>
      <c r="P26">
        <v>332</v>
      </c>
    </row>
    <row r="27" spans="1:16" ht="17.100000000000001" customHeight="1">
      <c r="A27" s="98"/>
      <c r="B27" s="101" t="s">
        <v>12</v>
      </c>
      <c r="H27">
        <v>105</v>
      </c>
      <c r="I27" s="97"/>
      <c r="J27" s="97" t="s">
        <v>165</v>
      </c>
      <c r="K27" s="97"/>
      <c r="L27" s="97"/>
      <c r="M27" s="97"/>
      <c r="N27" s="97"/>
      <c r="O27" s="97"/>
      <c r="P27">
        <v>333</v>
      </c>
    </row>
    <row r="28" spans="1:16" ht="17.100000000000001" customHeight="1">
      <c r="A28" s="97"/>
      <c r="B28" s="100" t="s">
        <v>13</v>
      </c>
      <c r="H28">
        <v>109</v>
      </c>
      <c r="I28" s="97"/>
      <c r="J28" s="97" t="s">
        <v>159</v>
      </c>
      <c r="K28" s="97"/>
      <c r="L28" s="97"/>
      <c r="M28" s="97"/>
      <c r="N28" s="97"/>
      <c r="O28" s="97"/>
      <c r="P28">
        <v>335</v>
      </c>
    </row>
    <row r="29" spans="1:16" ht="17.100000000000001" customHeight="1">
      <c r="A29" s="97"/>
      <c r="B29" s="100" t="s">
        <v>14</v>
      </c>
      <c r="H29">
        <v>121</v>
      </c>
      <c r="I29" s="97"/>
      <c r="J29" s="97" t="s">
        <v>160</v>
      </c>
      <c r="K29" s="97"/>
      <c r="L29" s="97"/>
      <c r="M29" s="97"/>
      <c r="N29" s="97"/>
      <c r="O29" s="97"/>
      <c r="P29">
        <v>337</v>
      </c>
    </row>
    <row r="30" spans="1:16" ht="17.100000000000001" customHeight="1">
      <c r="A30" s="97"/>
      <c r="B30" s="101" t="s">
        <v>15</v>
      </c>
      <c r="H30">
        <v>133</v>
      </c>
      <c r="I30" s="97"/>
      <c r="J30" s="97" t="s">
        <v>161</v>
      </c>
      <c r="K30" s="97"/>
      <c r="L30" s="97"/>
      <c r="M30" s="97"/>
      <c r="N30" s="97"/>
      <c r="O30" s="97"/>
      <c r="P30">
        <v>339</v>
      </c>
    </row>
    <row r="31" spans="1:16" ht="17.100000000000001" customHeight="1">
      <c r="A31" s="98"/>
      <c r="B31" s="101" t="s">
        <v>16</v>
      </c>
      <c r="H31">
        <v>145</v>
      </c>
      <c r="I31" s="97"/>
      <c r="J31" s="97"/>
      <c r="K31" s="97"/>
      <c r="L31" s="97"/>
      <c r="M31" s="97"/>
      <c r="N31" s="97"/>
      <c r="O31" s="97"/>
    </row>
    <row r="32" spans="1:16" ht="17.100000000000001" customHeight="1">
      <c r="A32" s="97"/>
      <c r="B32" s="100" t="s">
        <v>10</v>
      </c>
      <c r="H32">
        <v>162</v>
      </c>
      <c r="I32" s="98" t="s">
        <v>102</v>
      </c>
      <c r="J32" s="98" t="s">
        <v>103</v>
      </c>
      <c r="K32" s="97"/>
      <c r="L32" s="97"/>
      <c r="M32" s="97"/>
      <c r="N32" s="97"/>
      <c r="O32" s="97"/>
    </row>
    <row r="33" spans="1:16" ht="17.100000000000001" customHeight="1">
      <c r="A33" s="97"/>
      <c r="B33" s="100" t="s">
        <v>11</v>
      </c>
      <c r="H33">
        <v>184</v>
      </c>
      <c r="I33" s="97"/>
      <c r="J33" s="97"/>
      <c r="K33" s="97"/>
      <c r="L33" s="97"/>
      <c r="M33" s="97"/>
      <c r="N33" s="97"/>
      <c r="O33" s="97"/>
    </row>
    <row r="34" spans="1:16" ht="17.100000000000001" customHeight="1">
      <c r="A34" s="97"/>
      <c r="B34" s="101" t="s">
        <v>3</v>
      </c>
      <c r="H34">
        <v>206</v>
      </c>
      <c r="I34" s="97"/>
      <c r="J34" s="97" t="s">
        <v>166</v>
      </c>
      <c r="K34" s="97"/>
      <c r="L34" s="97"/>
      <c r="M34" s="97"/>
      <c r="N34" s="97"/>
      <c r="O34" s="97"/>
      <c r="P34">
        <v>344</v>
      </c>
    </row>
    <row r="35" spans="1:16" ht="17.100000000000001" customHeight="1">
      <c r="A35" s="98"/>
      <c r="B35" s="101" t="s">
        <v>17</v>
      </c>
      <c r="H35">
        <v>221</v>
      </c>
      <c r="I35" s="97"/>
      <c r="J35" s="163" t="s">
        <v>162</v>
      </c>
      <c r="K35" s="163"/>
      <c r="L35" s="163"/>
      <c r="M35" s="163"/>
      <c r="N35" s="163"/>
      <c r="O35" s="163"/>
      <c r="P35">
        <v>350</v>
      </c>
    </row>
    <row r="36" spans="1:16" ht="17.100000000000001" customHeight="1">
      <c r="A36" s="97"/>
      <c r="B36" s="100" t="s">
        <v>18</v>
      </c>
      <c r="H36">
        <v>225</v>
      </c>
      <c r="I36" s="97"/>
      <c r="J36" s="163"/>
      <c r="K36" s="163"/>
      <c r="L36" s="163"/>
      <c r="M36" s="163"/>
      <c r="N36" s="163"/>
      <c r="O36" s="163"/>
    </row>
    <row r="37" spans="1:16" ht="17.100000000000001" customHeight="1">
      <c r="A37" s="97"/>
      <c r="B37" s="100" t="s">
        <v>19</v>
      </c>
      <c r="H37">
        <v>229</v>
      </c>
      <c r="I37" s="97"/>
      <c r="J37" s="97"/>
      <c r="K37" s="97"/>
      <c r="L37" s="97"/>
      <c r="M37" s="97"/>
      <c r="N37" s="97"/>
      <c r="O37" s="97"/>
    </row>
    <row r="38" spans="1:16" ht="17.100000000000001" customHeight="1">
      <c r="A38" s="97"/>
      <c r="B38" s="101" t="s">
        <v>20</v>
      </c>
      <c r="H38">
        <v>232</v>
      </c>
      <c r="I38" s="98" t="s">
        <v>110</v>
      </c>
      <c r="J38" s="98" t="s">
        <v>120</v>
      </c>
      <c r="K38" s="97"/>
      <c r="L38" s="97"/>
      <c r="M38" s="97"/>
      <c r="N38" s="97"/>
      <c r="O38" s="97"/>
    </row>
    <row r="39" spans="1:16" ht="17.100000000000001" customHeight="1">
      <c r="A39" s="98"/>
      <c r="B39" s="101"/>
      <c r="I39" s="97"/>
      <c r="J39" s="97"/>
      <c r="K39" s="97"/>
      <c r="L39" s="97"/>
      <c r="M39" s="97"/>
      <c r="N39" s="97"/>
      <c r="O39" s="97"/>
    </row>
    <row r="40" spans="1:16" ht="17.100000000000001" customHeight="1">
      <c r="A40" s="97"/>
      <c r="B40" s="100"/>
      <c r="I40" s="97"/>
      <c r="J40" s="163" t="s">
        <v>163</v>
      </c>
      <c r="K40" s="163"/>
      <c r="L40" s="163"/>
      <c r="M40" s="163"/>
      <c r="N40" s="163"/>
      <c r="O40" s="163"/>
      <c r="P40">
        <v>358</v>
      </c>
    </row>
    <row r="41" spans="1:16" ht="30" customHeight="1">
      <c r="A41" s="97"/>
      <c r="B41" s="100"/>
      <c r="I41" s="97"/>
      <c r="J41" s="163"/>
      <c r="K41" s="163"/>
      <c r="L41" s="163"/>
      <c r="M41" s="163"/>
      <c r="N41" s="163"/>
      <c r="O41" s="163"/>
    </row>
    <row r="45" spans="1:16" ht="13.5">
      <c r="A45" s="161">
        <f>Deckblatt!A59+1</f>
        <v>47</v>
      </c>
      <c r="B45" s="161"/>
      <c r="C45" s="161"/>
      <c r="D45" s="161"/>
      <c r="E45" s="161"/>
      <c r="F45" s="161"/>
      <c r="G45" s="161"/>
      <c r="H45" s="161"/>
      <c r="I45" s="161">
        <f>A45+1</f>
        <v>48</v>
      </c>
      <c r="J45" s="161"/>
      <c r="K45" s="161"/>
      <c r="L45" s="161"/>
      <c r="M45" s="161"/>
      <c r="N45" s="161"/>
      <c r="O45" s="161"/>
      <c r="P45" s="161"/>
    </row>
  </sheetData>
  <mergeCells count="6">
    <mergeCell ref="B18:H19"/>
    <mergeCell ref="A45:H45"/>
    <mergeCell ref="J3:P4"/>
    <mergeCell ref="J40:O41"/>
    <mergeCell ref="J35:O36"/>
    <mergeCell ref="I45:P45"/>
  </mergeCells>
  <hyperlinks>
    <hyperlink ref="B8" location="Z2.1!A1" display="Zeitreihe" xr:uid="{00000000-0004-0000-0100-000000000000}"/>
    <hyperlink ref="B12" location="Z3.1!A1" display="Zeitreihe" xr:uid="{00000000-0004-0000-0100-000001000000}"/>
    <hyperlink ref="B13" location="Z3.2!A1" display="Ländervergleich" xr:uid="{00000000-0004-0000-0100-000002000000}"/>
    <hyperlink ref="B4" location="'Z1'!A1" display="Zeitreihen und Ländervergleiche zu den zentralen Daten" xr:uid="{00000000-0004-0000-0100-000003000000}"/>
  </hyperlinks>
  <printOptions horizontalCentered="1"/>
  <pageMargins left="0.23622047244094491" right="0.23622047244094491" top="0.74803149606299213" bottom="0.74803149606299213" header="0.31496062992125984" footer="0.31496062992125984"/>
  <pageSetup paperSize="9" scale="97" orientation="portrait" r:id="rId1"/>
  <headerFooter>
    <oddHeader xml:space="preserve">&amp;C&amp;"Arial Narrow,Fett"&amp;16Gliederung
</oddHeader>
  </headerFooter>
  <colBreaks count="1" manualBreakCount="1">
    <brk id="8" max="44"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5:H55"/>
  <sheetViews>
    <sheetView view="pageBreakPreview" zoomScaleNormal="100" zoomScaleSheetLayoutView="100" workbookViewId="0">
      <selection activeCell="J27" sqref="J27"/>
    </sheetView>
  </sheetViews>
  <sheetFormatPr baseColWidth="10" defaultRowHeight="12.75"/>
  <cols>
    <col min="1" max="1" width="11.42578125" customWidth="1"/>
    <col min="2" max="2" width="13" customWidth="1"/>
    <col min="3" max="3" width="11.7109375" customWidth="1"/>
    <col min="7" max="7" width="20.42578125" customWidth="1"/>
  </cols>
  <sheetData>
    <row r="15" spans="3:4">
      <c r="C15" s="147" t="s">
        <v>134</v>
      </c>
      <c r="D15" s="148"/>
    </row>
    <row r="16" spans="3:4">
      <c r="C16" s="148"/>
      <c r="D16" s="148"/>
    </row>
    <row r="17" spans="1:8" ht="12.75" customHeight="1">
      <c r="C17" s="148" t="s">
        <v>34</v>
      </c>
      <c r="D17" s="148" t="s">
        <v>135</v>
      </c>
    </row>
    <row r="18" spans="1:8" ht="12.75" customHeight="1">
      <c r="C18" s="148" t="s">
        <v>35</v>
      </c>
      <c r="D18" s="148" t="s">
        <v>136</v>
      </c>
    </row>
    <row r="19" spans="1:8" ht="12.75" customHeight="1">
      <c r="C19" s="148" t="s">
        <v>36</v>
      </c>
      <c r="D19" s="148" t="s">
        <v>137</v>
      </c>
    </row>
    <row r="20" spans="1:8" ht="12.75" customHeight="1">
      <c r="C20" s="148" t="s">
        <v>37</v>
      </c>
      <c r="D20" s="148" t="s">
        <v>138</v>
      </c>
    </row>
    <row r="21" spans="1:8" ht="18" customHeight="1">
      <c r="A21" s="1"/>
      <c r="B21" s="1"/>
      <c r="C21" s="148" t="s">
        <v>38</v>
      </c>
      <c r="D21" s="148" t="s">
        <v>139</v>
      </c>
      <c r="E21" s="1"/>
      <c r="F21" s="1"/>
      <c r="G21" s="1"/>
      <c r="H21" s="1"/>
    </row>
    <row r="22" spans="1:8" ht="12.75" customHeight="1">
      <c r="C22" s="148" t="s">
        <v>39</v>
      </c>
      <c r="D22" s="148" t="s">
        <v>140</v>
      </c>
    </row>
    <row r="23" spans="1:8">
      <c r="C23" s="148" t="s">
        <v>40</v>
      </c>
      <c r="D23" s="148" t="s">
        <v>141</v>
      </c>
    </row>
    <row r="24" spans="1:8">
      <c r="C24" s="148" t="s">
        <v>41</v>
      </c>
      <c r="D24" s="148" t="s">
        <v>142</v>
      </c>
    </row>
    <row r="25" spans="1:8" ht="18" customHeight="1">
      <c r="C25" s="148" t="s">
        <v>42</v>
      </c>
      <c r="D25" s="148" t="s">
        <v>143</v>
      </c>
    </row>
    <row r="26" spans="1:8" ht="14.25" customHeight="1">
      <c r="C26" s="148" t="s">
        <v>43</v>
      </c>
      <c r="D26" s="148" t="s">
        <v>144</v>
      </c>
    </row>
    <row r="27" spans="1:8" ht="12.75" customHeight="1">
      <c r="A27" s="146"/>
      <c r="B27" s="146"/>
      <c r="C27" s="148" t="s">
        <v>44</v>
      </c>
      <c r="D27" s="148" t="s">
        <v>145</v>
      </c>
      <c r="E27" s="146"/>
      <c r="F27" s="146"/>
      <c r="G27" s="146"/>
      <c r="H27" s="2"/>
    </row>
    <row r="28" spans="1:8">
      <c r="C28" s="149" t="s">
        <v>45</v>
      </c>
      <c r="D28" s="149" t="s">
        <v>146</v>
      </c>
    </row>
    <row r="29" spans="1:8" ht="18" customHeight="1">
      <c r="C29" s="148" t="s">
        <v>46</v>
      </c>
      <c r="D29" s="148" t="s">
        <v>147</v>
      </c>
    </row>
    <row r="30" spans="1:8">
      <c r="C30" s="148" t="s">
        <v>47</v>
      </c>
      <c r="D30" s="148" t="s">
        <v>148</v>
      </c>
    </row>
    <row r="31" spans="1:8">
      <c r="C31" s="148" t="s">
        <v>48</v>
      </c>
      <c r="D31" s="148" t="s">
        <v>149</v>
      </c>
    </row>
    <row r="32" spans="1:8">
      <c r="C32" s="148" t="s">
        <v>49</v>
      </c>
      <c r="D32" s="148" t="s">
        <v>150</v>
      </c>
    </row>
    <row r="33" spans="1:7" ht="18" customHeight="1">
      <c r="C33" s="148" t="s">
        <v>50</v>
      </c>
      <c r="D33" s="148" t="s">
        <v>151</v>
      </c>
    </row>
    <row r="34" spans="1:7" ht="18" customHeight="1">
      <c r="C34" s="148" t="s">
        <v>195</v>
      </c>
      <c r="D34" s="148" t="s">
        <v>196</v>
      </c>
    </row>
    <row r="35" spans="1:7" ht="18" customHeight="1">
      <c r="C35" s="148"/>
      <c r="D35" s="148" t="s">
        <v>197</v>
      </c>
    </row>
    <row r="37" spans="1:7" ht="7.5" customHeight="1"/>
    <row r="38" spans="1:7" ht="18.75" customHeight="1">
      <c r="A38" s="164" t="s">
        <v>198</v>
      </c>
      <c r="B38" s="164"/>
      <c r="C38" s="164"/>
      <c r="D38" s="164"/>
      <c r="E38" s="164"/>
      <c r="F38" s="164"/>
      <c r="G38" s="164"/>
    </row>
    <row r="39" spans="1:7" ht="15.75" customHeight="1">
      <c r="A39" s="164"/>
      <c r="B39" s="164"/>
      <c r="C39" s="164"/>
      <c r="D39" s="164"/>
      <c r="E39" s="164"/>
      <c r="F39" s="164"/>
      <c r="G39" s="164"/>
    </row>
    <row r="40" spans="1:7" ht="6.75" customHeight="1"/>
    <row r="41" spans="1:7" ht="15" customHeight="1">
      <c r="A41" s="156" t="s">
        <v>190</v>
      </c>
    </row>
    <row r="42" spans="1:7" ht="15" customHeight="1">
      <c r="A42" s="156" t="s">
        <v>191</v>
      </c>
    </row>
    <row r="43" spans="1:7" ht="15" customHeight="1">
      <c r="A43" s="156" t="s">
        <v>192</v>
      </c>
    </row>
    <row r="44" spans="1:7" ht="15" customHeight="1">
      <c r="A44" s="156" t="s">
        <v>193</v>
      </c>
    </row>
    <row r="45" spans="1:7" ht="15" customHeight="1">
      <c r="A45" s="156" t="s">
        <v>194</v>
      </c>
    </row>
    <row r="46" spans="1:7" ht="9" customHeight="1"/>
    <row r="47" spans="1:7" hidden="1"/>
    <row r="48" spans="1:7">
      <c r="A48" s="156" t="s">
        <v>199</v>
      </c>
    </row>
    <row r="49" spans="1:7" ht="14.25" customHeight="1">
      <c r="A49" s="156" t="s">
        <v>201</v>
      </c>
    </row>
    <row r="50" spans="1:7" ht="30" customHeight="1">
      <c r="A50" s="165" t="s">
        <v>202</v>
      </c>
      <c r="B50" s="165"/>
      <c r="C50" s="165"/>
      <c r="D50" s="165"/>
      <c r="E50" s="165"/>
      <c r="F50" s="165"/>
      <c r="G50" s="165"/>
    </row>
    <row r="51" spans="1:7" ht="14.25" customHeight="1"/>
    <row r="55" spans="1:7" ht="13.5">
      <c r="A55" s="161">
        <v>49</v>
      </c>
      <c r="B55" s="161"/>
      <c r="C55" s="161"/>
      <c r="D55" s="161"/>
      <c r="E55" s="161"/>
      <c r="F55" s="161"/>
      <c r="G55" s="161"/>
    </row>
  </sheetData>
  <mergeCells count="3">
    <mergeCell ref="A55:G55"/>
    <mergeCell ref="A38:G39"/>
    <mergeCell ref="A50:G50"/>
  </mergeCells>
  <printOptions horizontalCentered="1"/>
  <pageMargins left="0.23622047244094491" right="0.23622047244094491"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4"/>
  <dimension ref="A21:H59"/>
  <sheetViews>
    <sheetView view="pageBreakPreview" zoomScale="60" zoomScaleNormal="100" workbookViewId="0">
      <selection activeCell="J27" sqref="J27"/>
    </sheetView>
  </sheetViews>
  <sheetFormatPr baseColWidth="10" defaultRowHeight="12.75"/>
  <cols>
    <col min="1" max="1" width="11.42578125" customWidth="1"/>
    <col min="7" max="7" width="20.42578125" customWidth="1"/>
  </cols>
  <sheetData>
    <row r="21" spans="1:8" ht="50.25" customHeight="1">
      <c r="A21" s="160" t="s">
        <v>0</v>
      </c>
      <c r="B21" s="160"/>
      <c r="C21" s="160"/>
      <c r="D21" s="160"/>
      <c r="E21" s="160"/>
      <c r="F21" s="160"/>
      <c r="G21" s="160"/>
      <c r="H21" s="1"/>
    </row>
    <row r="26" spans="1:8" ht="14.25" customHeight="1"/>
    <row r="27" spans="1:8" ht="20.25">
      <c r="A27" s="166" t="s">
        <v>120</v>
      </c>
      <c r="B27" s="166"/>
      <c r="C27" s="166"/>
      <c r="D27" s="166"/>
      <c r="E27" s="166"/>
      <c r="F27" s="166"/>
      <c r="G27" s="166"/>
      <c r="H27" s="2"/>
    </row>
    <row r="36" ht="27.75" customHeight="1"/>
    <row r="38" ht="7.5" customHeight="1"/>
    <row r="39" ht="9" customHeight="1"/>
    <row r="40" ht="6.75" customHeight="1"/>
    <row r="41" ht="6.75" customHeight="1"/>
    <row r="43" ht="3.75" customHeight="1"/>
    <row r="44" ht="6.75" customHeight="1"/>
    <row r="46" ht="5.25" customHeight="1"/>
    <row r="47" ht="9" customHeight="1"/>
    <row r="48" hidden="1"/>
    <row r="55" spans="1:7" ht="14.25" customHeight="1"/>
    <row r="59" spans="1:7" ht="13.5">
      <c r="A59" s="161">
        <v>50</v>
      </c>
      <c r="B59" s="161"/>
      <c r="C59" s="161"/>
      <c r="D59" s="161"/>
      <c r="E59" s="161"/>
      <c r="F59" s="161"/>
      <c r="G59" s="161"/>
    </row>
  </sheetData>
  <mergeCells count="3">
    <mergeCell ref="A21:G21"/>
    <mergeCell ref="A27:G27"/>
    <mergeCell ref="A59:G59"/>
  </mergeCells>
  <printOptions horizontalCentered="1"/>
  <pageMargins left="0.23622047244094491" right="0.23622047244094491" top="0.74803149606299213" bottom="0.74803149606299213" header="0.31496062992125984" footer="0.31496062992125984"/>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5"/>
  <dimension ref="A21:H59"/>
  <sheetViews>
    <sheetView view="pageBreakPreview" zoomScale="60" zoomScaleNormal="100" workbookViewId="0">
      <selection activeCell="J27" sqref="J27"/>
    </sheetView>
  </sheetViews>
  <sheetFormatPr baseColWidth="10" defaultRowHeight="12.75"/>
  <cols>
    <col min="1" max="1" width="11.42578125" customWidth="1"/>
    <col min="7" max="7" width="20.42578125" customWidth="1"/>
  </cols>
  <sheetData>
    <row r="21" spans="1:8" ht="50.25" customHeight="1">
      <c r="A21" s="160"/>
      <c r="B21" s="160"/>
      <c r="C21" s="160"/>
      <c r="D21" s="160"/>
      <c r="E21" s="160"/>
      <c r="F21" s="160"/>
      <c r="G21" s="160"/>
      <c r="H21" s="1"/>
    </row>
    <row r="26" spans="1:8" ht="14.25" customHeight="1"/>
    <row r="27" spans="1:8" ht="20.25">
      <c r="A27" s="166"/>
      <c r="B27" s="166"/>
      <c r="C27" s="166"/>
      <c r="D27" s="166"/>
      <c r="E27" s="166"/>
      <c r="F27" s="166"/>
      <c r="G27" s="166"/>
      <c r="H27" s="2"/>
    </row>
    <row r="36" ht="27.75" customHeight="1"/>
    <row r="38" ht="7.5" customHeight="1"/>
    <row r="39" ht="9" customHeight="1"/>
    <row r="40" ht="6.75" customHeight="1"/>
    <row r="41" ht="6.75" customHeight="1"/>
    <row r="43" ht="3.75" customHeight="1"/>
    <row r="44" ht="6.75" customHeight="1"/>
    <row r="46" ht="5.25" customHeight="1"/>
    <row r="47" ht="9" customHeight="1"/>
    <row r="48" hidden="1"/>
    <row r="55" spans="1:7" ht="14.25" customHeight="1"/>
    <row r="59" spans="1:7" ht="13.5">
      <c r="A59" s="161">
        <v>51</v>
      </c>
      <c r="B59" s="161"/>
      <c r="C59" s="161"/>
      <c r="D59" s="161"/>
      <c r="E59" s="161"/>
      <c r="F59" s="161"/>
      <c r="G59" s="161"/>
    </row>
  </sheetData>
  <mergeCells count="3">
    <mergeCell ref="A21:G21"/>
    <mergeCell ref="A27:G27"/>
    <mergeCell ref="A59:G59"/>
  </mergeCells>
  <printOptions horizontalCentered="1"/>
  <pageMargins left="0.23622047244094491" right="0.23622047244094491" top="0.74803149606299213" bottom="0.74803149606299213" header="0.31496062992125984" footer="0.31496062992125984"/>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6"/>
  <dimension ref="A1:I44"/>
  <sheetViews>
    <sheetView view="pageBreakPreview" zoomScale="90" zoomScaleNormal="100" zoomScaleSheetLayoutView="90" workbookViewId="0">
      <selection activeCell="J27" sqref="J27"/>
    </sheetView>
  </sheetViews>
  <sheetFormatPr baseColWidth="10" defaultRowHeight="12.75"/>
  <cols>
    <col min="1" max="1" width="4.28515625" customWidth="1"/>
  </cols>
  <sheetData>
    <row r="1" spans="1:8" ht="15.75">
      <c r="A1" s="99" t="s">
        <v>92</v>
      </c>
      <c r="B1" s="99"/>
      <c r="C1" s="99"/>
      <c r="D1" s="99"/>
      <c r="E1" s="99"/>
      <c r="F1" s="99"/>
      <c r="G1" s="99"/>
      <c r="H1" s="108" t="s">
        <v>93</v>
      </c>
    </row>
    <row r="2" spans="1:8" ht="21.75" customHeight="1">
      <c r="A2" s="106" t="s">
        <v>0</v>
      </c>
      <c r="B2" s="98"/>
      <c r="C2" s="98"/>
      <c r="D2" s="98"/>
      <c r="E2" s="98"/>
      <c r="F2" s="98"/>
      <c r="G2" s="98"/>
      <c r="H2" s="98"/>
    </row>
    <row r="4" spans="1:8" ht="17.100000000000001" customHeight="1">
      <c r="A4" s="98" t="s">
        <v>172</v>
      </c>
      <c r="B4" s="97"/>
    </row>
    <row r="5" spans="1:8" ht="17.100000000000001" customHeight="1">
      <c r="A5" s="97"/>
      <c r="B5" s="100" t="s">
        <v>94</v>
      </c>
      <c r="H5" s="97">
        <v>53</v>
      </c>
    </row>
    <row r="6" spans="1:8" ht="17.100000000000001" customHeight="1">
      <c r="A6" s="97"/>
      <c r="B6" s="100" t="s">
        <v>95</v>
      </c>
      <c r="H6" s="97">
        <v>55</v>
      </c>
    </row>
    <row r="7" spans="1:8" ht="17.100000000000001" customHeight="1">
      <c r="A7" s="97"/>
      <c r="B7" s="101"/>
      <c r="H7" s="97"/>
    </row>
    <row r="8" spans="1:8" ht="17.100000000000001" customHeight="1">
      <c r="A8" s="98" t="s">
        <v>53</v>
      </c>
      <c r="B8" s="101"/>
      <c r="H8" s="97"/>
    </row>
    <row r="9" spans="1:8" ht="17.100000000000001" customHeight="1">
      <c r="A9" s="97"/>
      <c r="B9" s="100" t="s">
        <v>94</v>
      </c>
      <c r="H9" s="97">
        <v>57</v>
      </c>
    </row>
    <row r="10" spans="1:8" ht="17.100000000000001" customHeight="1">
      <c r="A10" s="97"/>
      <c r="B10" s="100" t="s">
        <v>95</v>
      </c>
      <c r="H10" s="97">
        <v>59</v>
      </c>
    </row>
    <row r="11" spans="1:8" ht="17.100000000000001" customHeight="1">
      <c r="A11" s="97"/>
      <c r="B11" s="101"/>
      <c r="H11" s="97"/>
    </row>
    <row r="12" spans="1:8" ht="17.100000000000001" customHeight="1">
      <c r="A12" s="98" t="s">
        <v>152</v>
      </c>
      <c r="B12" s="101"/>
      <c r="H12" s="97"/>
    </row>
    <row r="13" spans="1:8" ht="17.100000000000001" customHeight="1">
      <c r="A13" s="97"/>
      <c r="B13" s="100" t="s">
        <v>94</v>
      </c>
      <c r="H13" s="97">
        <v>61</v>
      </c>
    </row>
    <row r="14" spans="1:8" ht="17.100000000000001" customHeight="1">
      <c r="A14" s="97"/>
      <c r="B14" s="100" t="s">
        <v>95</v>
      </c>
      <c r="H14" s="97">
        <v>63</v>
      </c>
    </row>
    <row r="15" spans="1:8" ht="17.100000000000001" customHeight="1">
      <c r="A15" s="97"/>
      <c r="B15" s="101"/>
      <c r="H15" s="97"/>
    </row>
    <row r="16" spans="1:8" ht="17.100000000000001" customHeight="1">
      <c r="A16" s="98" t="s">
        <v>60</v>
      </c>
      <c r="B16" s="101"/>
      <c r="H16" s="97"/>
    </row>
    <row r="17" spans="1:8" ht="17.100000000000001" customHeight="1">
      <c r="A17" s="97"/>
      <c r="B17" s="100" t="s">
        <v>94</v>
      </c>
      <c r="H17" s="97">
        <v>65</v>
      </c>
    </row>
    <row r="18" spans="1:8" ht="17.100000000000001" customHeight="1">
      <c r="A18" s="97"/>
      <c r="B18" s="100" t="s">
        <v>95</v>
      </c>
      <c r="H18" s="97">
        <v>67</v>
      </c>
    </row>
    <row r="19" spans="1:8" ht="17.100000000000001" customHeight="1">
      <c r="A19" s="97"/>
      <c r="B19" s="101"/>
      <c r="H19" s="97"/>
    </row>
    <row r="20" spans="1:8" ht="17.100000000000001" customHeight="1">
      <c r="A20" s="98" t="s">
        <v>153</v>
      </c>
      <c r="B20" s="101"/>
      <c r="H20" s="97"/>
    </row>
    <row r="21" spans="1:8" ht="17.100000000000001" customHeight="1">
      <c r="A21" s="97"/>
      <c r="B21" s="100" t="s">
        <v>94</v>
      </c>
      <c r="H21" s="97">
        <v>69</v>
      </c>
    </row>
    <row r="22" spans="1:8" ht="17.100000000000001" customHeight="1">
      <c r="A22" s="97"/>
      <c r="B22" s="100" t="s">
        <v>95</v>
      </c>
      <c r="H22" s="97">
        <v>71</v>
      </c>
    </row>
    <row r="23" spans="1:8" ht="17.100000000000001" customHeight="1">
      <c r="A23" s="97"/>
      <c r="B23" s="101"/>
      <c r="H23" s="97"/>
    </row>
    <row r="24" spans="1:8" ht="17.100000000000001" customHeight="1">
      <c r="A24" s="98" t="s">
        <v>155</v>
      </c>
      <c r="B24" s="101"/>
      <c r="H24" s="97"/>
    </row>
    <row r="25" spans="1:8" ht="17.100000000000001" customHeight="1">
      <c r="A25" s="97"/>
      <c r="B25" s="100" t="s">
        <v>94</v>
      </c>
      <c r="H25" s="97">
        <v>73</v>
      </c>
    </row>
    <row r="26" spans="1:8" ht="17.100000000000001" customHeight="1">
      <c r="A26" s="97"/>
      <c r="B26" s="100" t="s">
        <v>95</v>
      </c>
      <c r="H26" s="97">
        <v>75</v>
      </c>
    </row>
    <row r="27" spans="1:8" ht="17.100000000000001" customHeight="1">
      <c r="A27" s="97"/>
      <c r="B27" s="101"/>
      <c r="H27" s="97"/>
    </row>
    <row r="28" spans="1:8" ht="17.100000000000001" customHeight="1">
      <c r="A28" s="98" t="s">
        <v>154</v>
      </c>
      <c r="B28" s="101"/>
      <c r="H28" s="97"/>
    </row>
    <row r="29" spans="1:8" ht="17.100000000000001" customHeight="1">
      <c r="A29" s="97"/>
      <c r="B29" s="100" t="s">
        <v>94</v>
      </c>
      <c r="H29" s="97">
        <v>77</v>
      </c>
    </row>
    <row r="30" spans="1:8" ht="17.100000000000001" customHeight="1">
      <c r="A30" s="97"/>
      <c r="B30" s="100" t="s">
        <v>95</v>
      </c>
      <c r="H30" s="97">
        <v>79</v>
      </c>
    </row>
    <row r="31" spans="1:8" ht="17.100000000000001" customHeight="1">
      <c r="A31" s="97"/>
      <c r="B31" s="101"/>
      <c r="H31" s="97"/>
    </row>
    <row r="32" spans="1:8" ht="17.100000000000001" customHeight="1">
      <c r="A32" s="98" t="s">
        <v>73</v>
      </c>
      <c r="B32" s="101"/>
      <c r="H32" s="97"/>
    </row>
    <row r="33" spans="1:9" ht="17.100000000000001" customHeight="1">
      <c r="A33" s="97"/>
      <c r="B33" s="100" t="s">
        <v>94</v>
      </c>
      <c r="H33" s="97">
        <v>81</v>
      </c>
    </row>
    <row r="34" spans="1:9" ht="17.100000000000001" customHeight="1">
      <c r="A34" s="97"/>
      <c r="B34" s="100" t="s">
        <v>95</v>
      </c>
      <c r="H34" s="97">
        <v>83</v>
      </c>
    </row>
    <row r="35" spans="1:9" ht="17.100000000000001" customHeight="1">
      <c r="A35" s="97"/>
      <c r="B35" s="101"/>
      <c r="H35" s="97"/>
    </row>
    <row r="36" spans="1:9" ht="17.100000000000001" customHeight="1">
      <c r="A36" s="98" t="s">
        <v>173</v>
      </c>
      <c r="B36" s="101"/>
      <c r="H36" s="97"/>
    </row>
    <row r="37" spans="1:9" ht="17.100000000000001" customHeight="1">
      <c r="A37" s="97"/>
      <c r="B37" s="100" t="s">
        <v>94</v>
      </c>
      <c r="H37" s="97">
        <v>85</v>
      </c>
    </row>
    <row r="38" spans="1:9" ht="17.100000000000001" customHeight="1">
      <c r="A38" s="97"/>
      <c r="B38" s="100" t="s">
        <v>95</v>
      </c>
      <c r="H38" s="97">
        <v>86</v>
      </c>
    </row>
    <row r="39" spans="1:9" ht="17.100000000000001" customHeight="1">
      <c r="A39" s="97"/>
      <c r="B39" s="101"/>
      <c r="H39" s="97"/>
    </row>
    <row r="40" spans="1:9" ht="17.100000000000001" customHeight="1">
      <c r="A40" s="98" t="s">
        <v>164</v>
      </c>
      <c r="B40" s="101"/>
      <c r="H40" s="97"/>
    </row>
    <row r="41" spans="1:9" ht="17.100000000000001" customHeight="1">
      <c r="A41" s="97"/>
      <c r="B41" s="100" t="s">
        <v>94</v>
      </c>
      <c r="H41" s="97">
        <v>87</v>
      </c>
    </row>
    <row r="42" spans="1:9" ht="17.100000000000001" customHeight="1">
      <c r="A42" s="97"/>
      <c r="B42" s="100" t="s">
        <v>95</v>
      </c>
      <c r="H42" s="97">
        <v>89</v>
      </c>
    </row>
    <row r="43" spans="1:9" ht="27.75" customHeight="1">
      <c r="H43" s="97"/>
    </row>
    <row r="44" spans="1:9" ht="13.5">
      <c r="A44" s="161">
        <v>52</v>
      </c>
      <c r="B44" s="161"/>
      <c r="C44" s="161"/>
      <c r="D44" s="161"/>
      <c r="E44" s="161"/>
      <c r="F44" s="161"/>
      <c r="G44" s="161"/>
      <c r="H44" s="161"/>
      <c r="I44" s="107"/>
    </row>
  </sheetData>
  <mergeCells count="1">
    <mergeCell ref="A44:H44"/>
  </mergeCells>
  <hyperlinks>
    <hyperlink ref="B5" location="Z1.1!A1" display="Zeitreihe" xr:uid="{00000000-0004-0000-0500-000000000000}"/>
    <hyperlink ref="B6" location="Z1.2!A1" display="Ländervergleich" xr:uid="{00000000-0004-0000-0500-000001000000}"/>
    <hyperlink ref="B9" location="Z2.1!A1" display="Zeitreihe" xr:uid="{00000000-0004-0000-0500-000002000000}"/>
    <hyperlink ref="B10" location="Z2.2!A1" display="Ländervergleich" xr:uid="{00000000-0004-0000-0500-000003000000}"/>
    <hyperlink ref="B13" location="Z3.1!A1" display="Zeitreihe" xr:uid="{00000000-0004-0000-0500-000004000000}"/>
    <hyperlink ref="B14" location="Z3.2!A1" display="Ländervergleich" xr:uid="{00000000-0004-0000-0500-000005000000}"/>
    <hyperlink ref="B17" location="Z4.1!A1" display="Zeitreihe" xr:uid="{00000000-0004-0000-0500-000006000000}"/>
    <hyperlink ref="B18" location="Z4.2!A1" display="Ländervergleich" xr:uid="{00000000-0004-0000-0500-000007000000}"/>
    <hyperlink ref="B21" location="Z5.1!A1" display="Zeitreihe" xr:uid="{00000000-0004-0000-0500-000008000000}"/>
    <hyperlink ref="B22" location="Z5.2!A1" display="Ländervergleich" xr:uid="{00000000-0004-0000-0500-000009000000}"/>
    <hyperlink ref="B25" location="Z6.1!A1" display="Zeitreihe" xr:uid="{00000000-0004-0000-0500-00000A000000}"/>
    <hyperlink ref="B26" location="'Z6.2 '!A1" display="Ländervergleich" xr:uid="{00000000-0004-0000-0500-00000B000000}"/>
    <hyperlink ref="B29" location="Z7.1!A1" display="Zeitreihe" xr:uid="{00000000-0004-0000-0500-00000C000000}"/>
    <hyperlink ref="B30" location="Z7.2!A1" display="Ländervergleich" xr:uid="{00000000-0004-0000-0500-00000D000000}"/>
    <hyperlink ref="B33" location="Z8.1!A1" display="Zeitreihe" xr:uid="{00000000-0004-0000-0500-00000E000000}"/>
    <hyperlink ref="B34" location="Z8.2!A1" display="Ländervergleich" xr:uid="{00000000-0004-0000-0500-00000F000000}"/>
    <hyperlink ref="B37" location="Z9.1!A1" display="Zeitreihe" xr:uid="{00000000-0004-0000-0500-000010000000}"/>
    <hyperlink ref="B38" location="Z9.2!A1" display="Ländervergleich" xr:uid="{00000000-0004-0000-0500-000011000000}"/>
    <hyperlink ref="B41" location="Z10.1!A1" display="Zeitreihe" xr:uid="{00000000-0004-0000-0500-000012000000}"/>
    <hyperlink ref="B42" location="Z10.2!A1" display="Ländervergleich" xr:uid="{00000000-0004-0000-0500-000013000000}"/>
  </hyperlinks>
  <printOptions horizontalCentered="1"/>
  <pageMargins left="0.25" right="0.25" top="0.75" bottom="0.75" header="0.3" footer="0.3"/>
  <pageSetup paperSize="9" scale="97" orientation="portrait" r:id="rId1"/>
  <headerFooter>
    <oddHeader xml:space="preserve">&amp;C&amp;"Arial Narrow,Fett"&amp;16Inhaltsverzeichnis
&amp;"Arial,Standard"&amp;10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7"/>
  <dimension ref="A1:AD73"/>
  <sheetViews>
    <sheetView view="pageBreakPreview" topLeftCell="A74" zoomScale="140" zoomScaleNormal="100" zoomScaleSheetLayoutView="140" workbookViewId="0">
      <selection activeCell="J27" sqref="J27"/>
    </sheetView>
  </sheetViews>
  <sheetFormatPr baseColWidth="10" defaultRowHeight="12.75"/>
  <cols>
    <col min="1" max="1" width="2.7109375" customWidth="1"/>
    <col min="2" max="2" width="3.7109375" customWidth="1"/>
    <col min="3" max="4" width="2.7109375" customWidth="1"/>
    <col min="5" max="5" width="27.28515625" customWidth="1"/>
    <col min="6" max="6" width="8" hidden="1" customWidth="1"/>
    <col min="7" max="14" width="9.7109375" hidden="1" customWidth="1"/>
    <col min="15" max="15" width="0.140625" hidden="1" customWidth="1"/>
    <col min="16" max="18" width="9.7109375" hidden="1" customWidth="1"/>
    <col min="19" max="28" width="9.7109375" customWidth="1"/>
    <col min="29" max="29" width="11.42578125" customWidth="1"/>
  </cols>
  <sheetData>
    <row r="1" spans="1:30" ht="13.5">
      <c r="A1" s="168">
        <v>53</v>
      </c>
      <c r="B1" s="169" t="s">
        <v>0</v>
      </c>
      <c r="C1" s="169"/>
      <c r="D1" s="169"/>
      <c r="E1" s="169"/>
    </row>
    <row r="2" spans="1:30" ht="13.5">
      <c r="A2" s="168"/>
      <c r="B2" s="4" t="s">
        <v>1</v>
      </c>
      <c r="C2" s="4"/>
      <c r="D2" s="4" t="s">
        <v>172</v>
      </c>
      <c r="E2" s="4"/>
    </row>
    <row r="3" spans="1:30" ht="13.5">
      <c r="A3" s="168"/>
      <c r="B3" s="5" t="s">
        <v>2</v>
      </c>
      <c r="C3" s="4"/>
      <c r="D3" s="4" t="s">
        <v>185</v>
      </c>
      <c r="E3" s="4"/>
    </row>
    <row r="4" spans="1:30" ht="21.75" customHeight="1">
      <c r="A4" s="168"/>
    </row>
    <row r="5" spans="1:30" s="6" customFormat="1" ht="18.75" customHeight="1">
      <c r="A5" s="168"/>
      <c r="B5" s="170" t="s">
        <v>126</v>
      </c>
      <c r="C5" s="170"/>
      <c r="D5" s="170"/>
      <c r="E5" s="170"/>
      <c r="F5" s="8">
        <v>2002</v>
      </c>
      <c r="G5" s="8">
        <v>2003</v>
      </c>
      <c r="H5" s="8">
        <v>2004</v>
      </c>
      <c r="I5" s="8">
        <v>2005</v>
      </c>
      <c r="J5" s="8">
        <v>2006</v>
      </c>
      <c r="K5" s="8">
        <v>2007</v>
      </c>
      <c r="L5" s="8">
        <v>2008</v>
      </c>
      <c r="M5" s="8">
        <v>2009</v>
      </c>
      <c r="N5" s="8">
        <v>2010</v>
      </c>
      <c r="O5" s="8">
        <v>2011</v>
      </c>
      <c r="P5" s="8">
        <v>2012</v>
      </c>
      <c r="Q5" s="8">
        <v>2013</v>
      </c>
      <c r="R5" s="8">
        <v>2014</v>
      </c>
      <c r="S5" s="8">
        <v>2015</v>
      </c>
      <c r="T5" s="8">
        <v>2016</v>
      </c>
      <c r="U5" s="8">
        <v>2017</v>
      </c>
      <c r="V5" s="8">
        <v>2018</v>
      </c>
      <c r="W5" s="8">
        <v>2019</v>
      </c>
      <c r="X5" s="8">
        <v>2020</v>
      </c>
      <c r="Y5" s="8">
        <v>2021</v>
      </c>
      <c r="Z5" s="8">
        <v>2022</v>
      </c>
      <c r="AA5" s="8">
        <v>2023</v>
      </c>
      <c r="AB5" s="8">
        <v>2024</v>
      </c>
    </row>
    <row r="6" spans="1:30" ht="13.5">
      <c r="A6" s="168"/>
      <c r="B6" s="9" t="s">
        <v>120</v>
      </c>
      <c r="C6" s="9"/>
      <c r="D6" s="9"/>
      <c r="E6" s="16"/>
      <c r="F6" s="58">
        <v>12480118</v>
      </c>
      <c r="G6" s="58">
        <v>12452557</v>
      </c>
      <c r="H6" s="58">
        <v>12387440</v>
      </c>
      <c r="I6" s="58">
        <v>12277129</v>
      </c>
      <c r="J6" s="58">
        <v>12136721</v>
      </c>
      <c r="K6" s="58">
        <v>11984567</v>
      </c>
      <c r="L6" s="58">
        <v>11826837</v>
      </c>
      <c r="M6" s="58">
        <v>11674556</v>
      </c>
      <c r="N6" s="58">
        <v>11484960</v>
      </c>
      <c r="O6" s="58">
        <v>11290679</v>
      </c>
      <c r="P6" s="58">
        <v>11114277</v>
      </c>
      <c r="Q6" s="58">
        <v>10950779</v>
      </c>
      <c r="R6" s="58">
        <v>10872127</v>
      </c>
      <c r="S6" s="58">
        <v>10831676</v>
      </c>
      <c r="T6" s="58">
        <v>10884869</v>
      </c>
      <c r="U6" s="58">
        <v>10837182</v>
      </c>
      <c r="V6" s="58">
        <v>10779998</v>
      </c>
      <c r="W6" s="58">
        <v>10743115</v>
      </c>
      <c r="X6" s="58">
        <v>10735653</v>
      </c>
      <c r="Y6" s="58">
        <v>10746583</v>
      </c>
      <c r="Z6" s="58">
        <v>10953117</v>
      </c>
      <c r="AA6" s="58">
        <v>11074977</v>
      </c>
      <c r="AB6" s="58">
        <v>11175905</v>
      </c>
      <c r="AC6" s="150"/>
    </row>
    <row r="7" spans="1:30" ht="13.5">
      <c r="A7" s="168"/>
      <c r="B7" s="10" t="s">
        <v>119</v>
      </c>
      <c r="C7" s="10"/>
      <c r="D7" s="10"/>
      <c r="E7" s="9"/>
      <c r="F7" s="59">
        <v>9781742</v>
      </c>
      <c r="G7" s="59">
        <v>9727034</v>
      </c>
      <c r="H7" s="59">
        <v>9624815</v>
      </c>
      <c r="I7" s="59">
        <v>9506665</v>
      </c>
      <c r="J7" s="59">
        <v>9354813</v>
      </c>
      <c r="K7" s="59">
        <v>9181767</v>
      </c>
      <c r="L7" s="59">
        <v>9020870</v>
      </c>
      <c r="M7" s="59">
        <v>8905753</v>
      </c>
      <c r="N7" s="59">
        <v>8796942</v>
      </c>
      <c r="O7" s="59">
        <v>8678188</v>
      </c>
      <c r="P7" s="59">
        <v>8556879</v>
      </c>
      <c r="Q7" s="59">
        <v>8420062</v>
      </c>
      <c r="R7" s="59">
        <v>8366124</v>
      </c>
      <c r="S7" s="59">
        <v>8335061</v>
      </c>
      <c r="T7" s="59">
        <v>8369656</v>
      </c>
      <c r="U7" s="59">
        <v>8346856</v>
      </c>
      <c r="V7" s="59">
        <v>8330594</v>
      </c>
      <c r="W7" s="59">
        <v>8326993</v>
      </c>
      <c r="X7" s="59">
        <v>8381189</v>
      </c>
      <c r="Y7" s="59">
        <v>8433724</v>
      </c>
      <c r="Z7" s="59">
        <v>8693343</v>
      </c>
      <c r="AA7" s="59">
        <v>8819488</v>
      </c>
      <c r="AB7" s="59">
        <v>8914161</v>
      </c>
      <c r="AC7" s="111"/>
    </row>
    <row r="8" spans="1:30" ht="13.5">
      <c r="A8" s="168"/>
      <c r="B8" s="11" t="s">
        <v>3</v>
      </c>
      <c r="C8" s="11"/>
      <c r="D8" s="11"/>
      <c r="E8" s="11"/>
      <c r="F8" s="60">
        <v>429440</v>
      </c>
      <c r="G8" s="60">
        <v>429325</v>
      </c>
      <c r="H8" s="60">
        <v>423771</v>
      </c>
      <c r="I8" s="60">
        <v>416239</v>
      </c>
      <c r="J8" s="60">
        <v>408081</v>
      </c>
      <c r="K8" s="60">
        <v>400399</v>
      </c>
      <c r="L8" s="60">
        <v>393491</v>
      </c>
      <c r="M8" s="60">
        <v>387792</v>
      </c>
      <c r="N8" s="60">
        <v>377922</v>
      </c>
      <c r="O8" s="60">
        <v>365719</v>
      </c>
      <c r="P8" s="60">
        <v>355139</v>
      </c>
      <c r="Q8" s="60">
        <v>343343</v>
      </c>
      <c r="R8" s="60">
        <v>334994</v>
      </c>
      <c r="S8" s="60">
        <v>322518</v>
      </c>
      <c r="T8" s="60">
        <v>317985</v>
      </c>
      <c r="U8" s="60">
        <v>317480</v>
      </c>
      <c r="V8" s="60">
        <v>320992</v>
      </c>
      <c r="W8" s="60">
        <v>325368</v>
      </c>
      <c r="X8" s="60">
        <v>327953</v>
      </c>
      <c r="Y8" s="60">
        <v>332150</v>
      </c>
      <c r="Z8" s="60">
        <v>337663</v>
      </c>
      <c r="AA8" s="60">
        <v>344363</v>
      </c>
      <c r="AB8" s="60">
        <v>350620</v>
      </c>
      <c r="AC8" s="76"/>
    </row>
    <row r="9" spans="1:30" ht="13.5">
      <c r="A9" s="168"/>
      <c r="B9" s="12"/>
      <c r="C9" s="12" t="s">
        <v>4</v>
      </c>
      <c r="D9" s="12"/>
      <c r="E9" s="12"/>
      <c r="F9" s="56">
        <v>231138</v>
      </c>
      <c r="G9" s="56">
        <v>228912</v>
      </c>
      <c r="H9" s="56">
        <v>213055</v>
      </c>
      <c r="I9" s="56">
        <v>201618</v>
      </c>
      <c r="J9" s="56">
        <v>189941</v>
      </c>
      <c r="K9" s="56">
        <v>179554</v>
      </c>
      <c r="L9" s="56">
        <v>171113</v>
      </c>
      <c r="M9" s="56">
        <v>163363</v>
      </c>
      <c r="N9" s="56">
        <v>154958</v>
      </c>
      <c r="O9" s="56">
        <v>145383</v>
      </c>
      <c r="P9" s="56">
        <v>136351</v>
      </c>
      <c r="Q9" s="56">
        <v>125640</v>
      </c>
      <c r="R9" s="56">
        <v>115871</v>
      </c>
      <c r="S9" s="56">
        <v>104742</v>
      </c>
      <c r="T9" s="56">
        <v>98179</v>
      </c>
      <c r="U9" s="56">
        <v>86200</v>
      </c>
      <c r="V9" s="56">
        <v>85196</v>
      </c>
      <c r="W9" s="56">
        <v>85968</v>
      </c>
      <c r="X9" s="56">
        <v>109371</v>
      </c>
      <c r="Y9" s="56">
        <v>110975</v>
      </c>
      <c r="Z9" s="56">
        <v>111278</v>
      </c>
      <c r="AA9" s="56">
        <v>112584</v>
      </c>
      <c r="AB9" s="56">
        <v>113300</v>
      </c>
    </row>
    <row r="10" spans="1:30" ht="12.75" customHeight="1">
      <c r="A10" s="168"/>
      <c r="B10" s="13"/>
      <c r="C10" s="13" t="s">
        <v>5</v>
      </c>
      <c r="D10" s="13"/>
      <c r="E10" s="13"/>
      <c r="F10" s="56">
        <v>198302</v>
      </c>
      <c r="G10" s="56">
        <v>200413</v>
      </c>
      <c r="H10" s="56">
        <v>210716</v>
      </c>
      <c r="I10" s="56">
        <v>214621</v>
      </c>
      <c r="J10" s="56">
        <v>218140</v>
      </c>
      <c r="K10" s="56">
        <v>220845</v>
      </c>
      <c r="L10" s="56">
        <v>222378</v>
      </c>
      <c r="M10" s="56">
        <v>224429</v>
      </c>
      <c r="N10" s="56">
        <v>222964</v>
      </c>
      <c r="O10" s="56">
        <v>220336</v>
      </c>
      <c r="P10" s="56">
        <v>218788</v>
      </c>
      <c r="Q10" s="56">
        <v>217703</v>
      </c>
      <c r="R10" s="56">
        <v>219123</v>
      </c>
      <c r="S10" s="56">
        <v>217776</v>
      </c>
      <c r="T10" s="56">
        <v>219806</v>
      </c>
      <c r="U10" s="56">
        <v>231280</v>
      </c>
      <c r="V10" s="56">
        <v>235796</v>
      </c>
      <c r="W10" s="56">
        <v>239400</v>
      </c>
      <c r="X10" s="56">
        <v>218582</v>
      </c>
      <c r="Y10" s="56">
        <v>221175</v>
      </c>
      <c r="Z10" s="56">
        <v>226385</v>
      </c>
      <c r="AA10" s="56">
        <v>231779</v>
      </c>
      <c r="AB10" s="56">
        <v>237320</v>
      </c>
    </row>
    <row r="11" spans="1:30" ht="13.5" hidden="1">
      <c r="A11" s="168"/>
      <c r="B11" s="13"/>
      <c r="C11" s="13"/>
      <c r="D11" s="13"/>
      <c r="E11" s="13"/>
      <c r="F11" s="56"/>
      <c r="G11" s="56"/>
      <c r="H11" s="56"/>
      <c r="I11" s="56"/>
      <c r="J11" s="141"/>
      <c r="K11" s="141"/>
      <c r="L11" s="141"/>
      <c r="M11" s="141"/>
      <c r="N11" s="141"/>
      <c r="O11" s="141"/>
      <c r="P11" s="141"/>
      <c r="Q11" s="141"/>
      <c r="R11" s="141"/>
      <c r="S11" s="141"/>
      <c r="T11" s="56"/>
      <c r="U11" s="56"/>
      <c r="V11" s="56"/>
      <c r="W11" s="56"/>
      <c r="X11" s="56"/>
      <c r="Y11" s="56"/>
      <c r="Z11" s="56"/>
      <c r="AA11" s="56"/>
      <c r="AB11" s="63"/>
    </row>
    <row r="12" spans="1:30" ht="13.5">
      <c r="A12" s="168"/>
      <c r="B12" s="11" t="s">
        <v>6</v>
      </c>
      <c r="C12" s="11"/>
      <c r="D12" s="11"/>
      <c r="E12" s="11"/>
      <c r="F12" s="60">
        <v>54787</v>
      </c>
      <c r="G12" s="60">
        <v>53970</v>
      </c>
      <c r="H12" s="60">
        <v>48006</v>
      </c>
      <c r="I12" s="60">
        <v>30146</v>
      </c>
      <c r="J12" s="60">
        <v>29056</v>
      </c>
      <c r="K12" s="60">
        <v>28136</v>
      </c>
      <c r="L12" s="60">
        <v>28078</v>
      </c>
      <c r="M12" s="60">
        <v>27844</v>
      </c>
      <c r="N12" s="60">
        <v>28819</v>
      </c>
      <c r="O12" s="60">
        <v>28233</v>
      </c>
      <c r="P12" s="60">
        <v>27876</v>
      </c>
      <c r="Q12" s="60">
        <v>27696</v>
      </c>
      <c r="R12" s="60">
        <v>26721</v>
      </c>
      <c r="S12" s="60">
        <v>26964</v>
      </c>
      <c r="T12" s="60">
        <v>27592</v>
      </c>
      <c r="U12" s="60">
        <v>28196</v>
      </c>
      <c r="V12" s="60">
        <v>26341</v>
      </c>
      <c r="W12" s="60">
        <v>26602</v>
      </c>
      <c r="X12" s="60">
        <v>26131</v>
      </c>
      <c r="Y12" s="60">
        <v>26604</v>
      </c>
      <c r="Z12" s="60">
        <v>27526</v>
      </c>
      <c r="AA12" s="60">
        <v>28807</v>
      </c>
      <c r="AB12" s="60">
        <v>28579</v>
      </c>
      <c r="AC12" s="150"/>
      <c r="AD12" s="150"/>
    </row>
    <row r="13" spans="1:30" ht="13.5">
      <c r="A13" s="168"/>
      <c r="B13" s="12"/>
      <c r="C13" s="12" t="s">
        <v>7</v>
      </c>
      <c r="D13" s="12"/>
      <c r="E13" s="12"/>
      <c r="F13" s="56">
        <v>19230</v>
      </c>
      <c r="G13" s="56">
        <v>19379</v>
      </c>
      <c r="H13" s="56">
        <v>18610</v>
      </c>
      <c r="I13" s="56">
        <v>8228</v>
      </c>
      <c r="J13" s="56">
        <v>8161</v>
      </c>
      <c r="K13" s="56">
        <v>8864</v>
      </c>
      <c r="L13" s="56">
        <v>8701</v>
      </c>
      <c r="M13" s="56">
        <v>9362</v>
      </c>
      <c r="N13" s="56">
        <v>9694</v>
      </c>
      <c r="O13" s="56">
        <v>9801</v>
      </c>
      <c r="P13" s="56">
        <v>10048</v>
      </c>
      <c r="Q13" s="56">
        <v>10600</v>
      </c>
      <c r="R13" s="56">
        <v>10367</v>
      </c>
      <c r="S13" s="56">
        <v>10720</v>
      </c>
      <c r="T13" s="56">
        <v>11089</v>
      </c>
      <c r="U13" s="56">
        <v>11210</v>
      </c>
      <c r="V13" s="56">
        <v>9304</v>
      </c>
      <c r="W13" s="56">
        <v>9614</v>
      </c>
      <c r="X13" s="56">
        <v>9826</v>
      </c>
      <c r="Y13" s="56">
        <v>10467</v>
      </c>
      <c r="Z13" s="56">
        <v>10946</v>
      </c>
      <c r="AA13" s="56">
        <v>11502</v>
      </c>
      <c r="AB13" s="56">
        <v>11186</v>
      </c>
      <c r="AC13" s="111"/>
      <c r="AD13" s="159"/>
    </row>
    <row r="14" spans="1:30" ht="13.5">
      <c r="A14" s="168"/>
      <c r="B14" s="13"/>
      <c r="C14" s="13" t="s">
        <v>8</v>
      </c>
      <c r="D14" s="13"/>
      <c r="E14" s="13"/>
      <c r="F14" s="56">
        <v>35557</v>
      </c>
      <c r="G14" s="56">
        <v>34591</v>
      </c>
      <c r="H14" s="56">
        <v>29396</v>
      </c>
      <c r="I14" s="56">
        <v>21918</v>
      </c>
      <c r="J14" s="56">
        <v>20895</v>
      </c>
      <c r="K14" s="56">
        <v>19272</v>
      </c>
      <c r="L14" s="56">
        <v>19377</v>
      </c>
      <c r="M14" s="56">
        <v>18482</v>
      </c>
      <c r="N14" s="56">
        <v>19125</v>
      </c>
      <c r="O14" s="56">
        <v>18432</v>
      </c>
      <c r="P14" s="56">
        <v>17828</v>
      </c>
      <c r="Q14" s="56">
        <v>17096</v>
      </c>
      <c r="R14" s="56">
        <v>16354</v>
      </c>
      <c r="S14" s="56">
        <v>16244</v>
      </c>
      <c r="T14" s="56">
        <v>16503</v>
      </c>
      <c r="U14" s="56">
        <v>16986</v>
      </c>
      <c r="V14" s="56">
        <v>17037</v>
      </c>
      <c r="W14" s="56">
        <v>16988</v>
      </c>
      <c r="X14" s="56">
        <v>16305</v>
      </c>
      <c r="Y14" s="56">
        <v>16137</v>
      </c>
      <c r="Z14" s="56">
        <v>16580</v>
      </c>
      <c r="AA14" s="56">
        <v>17305</v>
      </c>
      <c r="AB14" s="56">
        <v>17393</v>
      </c>
    </row>
    <row r="15" spans="1:30" ht="13.5">
      <c r="A15" s="168"/>
      <c r="B15" s="11" t="s">
        <v>123</v>
      </c>
      <c r="C15" s="11"/>
      <c r="D15" s="11"/>
      <c r="E15" s="11"/>
      <c r="F15" s="60">
        <v>3184052</v>
      </c>
      <c r="G15" s="60">
        <v>3187313</v>
      </c>
      <c r="H15" s="60">
        <v>3189136</v>
      </c>
      <c r="I15" s="60">
        <v>3212985</v>
      </c>
      <c r="J15" s="60">
        <v>3192621</v>
      </c>
      <c r="K15" s="60">
        <v>3118922</v>
      </c>
      <c r="L15" s="60">
        <v>3033343</v>
      </c>
      <c r="M15" s="60">
        <v>2952693</v>
      </c>
      <c r="N15" s="60">
        <v>2877051</v>
      </c>
      <c r="O15" s="60">
        <v>2832087</v>
      </c>
      <c r="P15" s="60">
        <v>2795620</v>
      </c>
      <c r="Q15" s="60">
        <v>2772129</v>
      </c>
      <c r="R15" s="60">
        <v>2789244</v>
      </c>
      <c r="S15" s="60">
        <v>2808853</v>
      </c>
      <c r="T15" s="60">
        <v>2873321</v>
      </c>
      <c r="U15" s="60">
        <v>2903636</v>
      </c>
      <c r="V15" s="60">
        <v>2911082</v>
      </c>
      <c r="W15" s="60">
        <v>2927264</v>
      </c>
      <c r="X15" s="60">
        <v>2949749</v>
      </c>
      <c r="Y15" s="60">
        <v>2987783</v>
      </c>
      <c r="Z15" s="60">
        <v>3131362</v>
      </c>
      <c r="AA15" s="60">
        <v>3221132</v>
      </c>
      <c r="AB15" s="60">
        <v>3284855</v>
      </c>
      <c r="AC15" s="150"/>
      <c r="AD15" s="150"/>
    </row>
    <row r="16" spans="1:30" ht="13.5">
      <c r="A16" s="168"/>
      <c r="B16" s="12"/>
      <c r="C16" s="12" t="s">
        <v>9</v>
      </c>
      <c r="D16" s="12"/>
      <c r="E16" s="12"/>
      <c r="F16" s="56">
        <v>3144359</v>
      </c>
      <c r="G16" s="56">
        <v>3146911</v>
      </c>
      <c r="H16" s="56">
        <v>3148164</v>
      </c>
      <c r="I16" s="56">
        <v>3177390</v>
      </c>
      <c r="J16" s="56">
        <v>3156523</v>
      </c>
      <c r="K16" s="56">
        <v>3082519</v>
      </c>
      <c r="L16" s="56">
        <v>2997074</v>
      </c>
      <c r="M16" s="56">
        <v>2914858</v>
      </c>
      <c r="N16" s="56">
        <v>2837727</v>
      </c>
      <c r="O16" s="56">
        <v>2790138</v>
      </c>
      <c r="P16" s="56">
        <v>2746379</v>
      </c>
      <c r="Q16" s="56">
        <v>2708400</v>
      </c>
      <c r="R16" s="56">
        <v>2708752</v>
      </c>
      <c r="S16" s="56">
        <v>2716691</v>
      </c>
      <c r="T16" s="56">
        <v>2773435</v>
      </c>
      <c r="U16" s="56">
        <v>2800370</v>
      </c>
      <c r="V16" s="56">
        <v>2805732</v>
      </c>
      <c r="W16" s="56">
        <v>2824710</v>
      </c>
      <c r="X16" s="56">
        <v>2846176</v>
      </c>
      <c r="Y16" s="56">
        <v>2882362</v>
      </c>
      <c r="Z16" s="56">
        <v>3022187</v>
      </c>
      <c r="AA16" s="56">
        <v>3109306</v>
      </c>
      <c r="AB16" s="56">
        <v>3170377</v>
      </c>
      <c r="AC16" s="111"/>
      <c r="AD16" s="159"/>
    </row>
    <row r="17" spans="1:30" ht="13.5">
      <c r="A17" s="168"/>
      <c r="B17" s="12"/>
      <c r="C17" s="12" t="s">
        <v>187</v>
      </c>
      <c r="D17" s="12"/>
      <c r="E17" s="12"/>
      <c r="F17" s="56">
        <v>16317</v>
      </c>
      <c r="G17" s="56">
        <v>16376</v>
      </c>
      <c r="H17" s="56">
        <v>16518</v>
      </c>
      <c r="I17" s="56">
        <v>10235</v>
      </c>
      <c r="J17" s="56">
        <v>10328</v>
      </c>
      <c r="K17" s="56">
        <v>10473</v>
      </c>
      <c r="L17" s="56">
        <v>10304</v>
      </c>
      <c r="M17" s="56">
        <v>11930</v>
      </c>
      <c r="N17" s="56">
        <v>13769</v>
      </c>
      <c r="O17" s="56">
        <v>16395</v>
      </c>
      <c r="P17" s="56">
        <v>23664</v>
      </c>
      <c r="Q17" s="56">
        <v>38334</v>
      </c>
      <c r="R17" s="56">
        <v>54872</v>
      </c>
      <c r="S17" s="56">
        <v>66049</v>
      </c>
      <c r="T17" s="56">
        <v>72919</v>
      </c>
      <c r="U17" s="56">
        <v>75714</v>
      </c>
      <c r="V17" s="56">
        <v>77128</v>
      </c>
      <c r="W17" s="56">
        <v>73562</v>
      </c>
      <c r="X17" s="56">
        <v>74107</v>
      </c>
      <c r="Y17" s="56">
        <v>75258</v>
      </c>
      <c r="Z17" s="56">
        <v>78790</v>
      </c>
      <c r="AA17" s="56">
        <v>81465</v>
      </c>
      <c r="AB17" s="56">
        <v>84021</v>
      </c>
    </row>
    <row r="18" spans="1:30" ht="13.5">
      <c r="A18" s="168"/>
      <c r="B18" s="13"/>
      <c r="C18" s="13" t="s">
        <v>11</v>
      </c>
      <c r="D18" s="13"/>
      <c r="E18" s="13"/>
      <c r="F18" s="56">
        <v>23376</v>
      </c>
      <c r="G18" s="56">
        <v>24026</v>
      </c>
      <c r="H18" s="56">
        <v>24454</v>
      </c>
      <c r="I18" s="56">
        <v>25360</v>
      </c>
      <c r="J18" s="56">
        <v>25770</v>
      </c>
      <c r="K18" s="56">
        <v>25930</v>
      </c>
      <c r="L18" s="56">
        <v>25965</v>
      </c>
      <c r="M18" s="56">
        <v>25905</v>
      </c>
      <c r="N18" s="56">
        <v>25555</v>
      </c>
      <c r="O18" s="56">
        <v>25554</v>
      </c>
      <c r="P18" s="56">
        <v>25577</v>
      </c>
      <c r="Q18" s="56">
        <v>25395</v>
      </c>
      <c r="R18" s="56">
        <v>25620</v>
      </c>
      <c r="S18" s="56">
        <v>26113</v>
      </c>
      <c r="T18" s="56">
        <v>26967</v>
      </c>
      <c r="U18" s="56">
        <v>27552</v>
      </c>
      <c r="V18" s="56">
        <v>28222</v>
      </c>
      <c r="W18" s="56">
        <v>28992</v>
      </c>
      <c r="X18" s="56">
        <v>29466</v>
      </c>
      <c r="Y18" s="56">
        <v>30163</v>
      </c>
      <c r="Z18" s="56">
        <v>30385</v>
      </c>
      <c r="AA18" s="56">
        <v>30361</v>
      </c>
      <c r="AB18" s="56">
        <v>30457</v>
      </c>
    </row>
    <row r="19" spans="1:30" ht="13.5">
      <c r="A19" s="168"/>
      <c r="B19" s="11" t="s">
        <v>124</v>
      </c>
      <c r="C19" s="11"/>
      <c r="D19" s="11"/>
      <c r="E19" s="11"/>
      <c r="F19" s="60">
        <v>5346539</v>
      </c>
      <c r="G19" s="60">
        <v>5266836</v>
      </c>
      <c r="H19" s="60">
        <v>5138817</v>
      </c>
      <c r="I19" s="60">
        <v>4986021</v>
      </c>
      <c r="J19" s="60">
        <v>4838237</v>
      </c>
      <c r="K19" s="60">
        <v>4742544</v>
      </c>
      <c r="L19" s="60">
        <v>4583840</v>
      </c>
      <c r="M19" s="60">
        <v>4509574</v>
      </c>
      <c r="N19" s="60">
        <v>4420850</v>
      </c>
      <c r="O19" s="60">
        <v>4391710</v>
      </c>
      <c r="P19" s="60">
        <v>4336844</v>
      </c>
      <c r="Q19" s="60">
        <v>4257589</v>
      </c>
      <c r="R19" s="60">
        <v>4189138</v>
      </c>
      <c r="S19" s="60">
        <v>4153777</v>
      </c>
      <c r="T19" s="60">
        <v>4147080</v>
      </c>
      <c r="U19" s="60">
        <v>4144329</v>
      </c>
      <c r="V19" s="60">
        <v>4141588</v>
      </c>
      <c r="W19" s="60">
        <v>4137773</v>
      </c>
      <c r="X19" s="60">
        <v>4137533</v>
      </c>
      <c r="Y19" s="60">
        <v>4143763</v>
      </c>
      <c r="Z19" s="60">
        <v>4292693</v>
      </c>
      <c r="AA19" s="60">
        <v>4387438</v>
      </c>
      <c r="AB19" s="60">
        <v>4423387</v>
      </c>
      <c r="AC19" s="150"/>
      <c r="AD19" s="150"/>
    </row>
    <row r="20" spans="1:30" ht="13.5">
      <c r="A20" s="168"/>
      <c r="B20" s="12"/>
      <c r="C20" s="12" t="s">
        <v>12</v>
      </c>
      <c r="D20" s="12"/>
      <c r="E20" s="12"/>
      <c r="F20" s="56">
        <v>351056</v>
      </c>
      <c r="G20" s="56">
        <v>287098</v>
      </c>
      <c r="H20" s="56">
        <v>110801</v>
      </c>
      <c r="I20" s="56">
        <v>102247</v>
      </c>
      <c r="J20" s="56">
        <v>99543</v>
      </c>
      <c r="K20" s="56">
        <v>101564</v>
      </c>
      <c r="L20" s="56">
        <v>104562</v>
      </c>
      <c r="M20" s="56">
        <v>111160</v>
      </c>
      <c r="N20" s="56">
        <v>111199</v>
      </c>
      <c r="O20" s="56">
        <v>101135</v>
      </c>
      <c r="P20" s="56">
        <v>97336</v>
      </c>
      <c r="Q20" s="56">
        <v>97656</v>
      </c>
      <c r="R20" s="56">
        <v>99281</v>
      </c>
      <c r="S20" s="56">
        <v>101026</v>
      </c>
      <c r="T20" s="56">
        <v>103970</v>
      </c>
      <c r="U20" s="56">
        <v>107054</v>
      </c>
      <c r="V20" s="56">
        <v>110781</v>
      </c>
      <c r="W20" s="56">
        <v>112315</v>
      </c>
      <c r="X20" s="56">
        <v>112546</v>
      </c>
      <c r="Y20" s="56">
        <v>113485</v>
      </c>
      <c r="Z20" s="56">
        <v>117524</v>
      </c>
      <c r="AA20" s="56">
        <v>119925</v>
      </c>
      <c r="AB20" s="56">
        <v>122604</v>
      </c>
      <c r="AC20" s="111"/>
      <c r="AD20" s="159"/>
    </row>
    <row r="21" spans="1:30" ht="13.5">
      <c r="A21" s="168"/>
      <c r="B21" s="12"/>
      <c r="C21" s="12" t="s">
        <v>13</v>
      </c>
      <c r="D21" s="12"/>
      <c r="E21" s="12"/>
      <c r="F21" s="56">
        <v>1112760</v>
      </c>
      <c r="G21" s="56">
        <v>1092503</v>
      </c>
      <c r="H21" s="56">
        <v>1084300</v>
      </c>
      <c r="I21" s="56">
        <v>1023829</v>
      </c>
      <c r="J21" s="56">
        <v>953400</v>
      </c>
      <c r="K21" s="56">
        <v>888234</v>
      </c>
      <c r="L21" s="56">
        <v>823052</v>
      </c>
      <c r="M21" s="56">
        <v>767258</v>
      </c>
      <c r="N21" s="56">
        <v>703525</v>
      </c>
      <c r="O21" s="56">
        <v>656754</v>
      </c>
      <c r="P21" s="56">
        <v>607878</v>
      </c>
      <c r="Q21" s="56">
        <v>553653</v>
      </c>
      <c r="R21" s="56">
        <v>507502</v>
      </c>
      <c r="S21" s="56">
        <v>468393</v>
      </c>
      <c r="T21" s="56">
        <v>431806</v>
      </c>
      <c r="U21" s="56">
        <v>390717</v>
      </c>
      <c r="V21" s="56">
        <v>365773</v>
      </c>
      <c r="W21" s="56">
        <v>349745</v>
      </c>
      <c r="X21" s="56">
        <v>335957</v>
      </c>
      <c r="Y21" s="56">
        <v>326458</v>
      </c>
      <c r="Z21" s="56">
        <v>339357</v>
      </c>
      <c r="AA21" s="56">
        <v>337525</v>
      </c>
      <c r="AB21" s="56">
        <v>135085</v>
      </c>
      <c r="AC21" s="150"/>
      <c r="AD21" s="150"/>
    </row>
    <row r="22" spans="1:30" ht="13.5">
      <c r="A22" s="168"/>
      <c r="B22" s="12"/>
      <c r="C22" s="12" t="s">
        <v>188</v>
      </c>
      <c r="D22" s="12"/>
      <c r="E22" s="12"/>
      <c r="F22" s="56">
        <v>438026</v>
      </c>
      <c r="G22" s="56">
        <v>428769</v>
      </c>
      <c r="H22" s="56">
        <v>379458</v>
      </c>
      <c r="I22" s="56">
        <v>341719</v>
      </c>
      <c r="J22" s="56">
        <v>311987</v>
      </c>
      <c r="K22" s="56">
        <v>299919</v>
      </c>
      <c r="L22" s="56">
        <v>302269</v>
      </c>
      <c r="M22" s="56">
        <v>329827</v>
      </c>
      <c r="N22" s="56">
        <v>370852</v>
      </c>
      <c r="O22" s="56">
        <v>399899</v>
      </c>
      <c r="P22" s="56">
        <v>429316</v>
      </c>
      <c r="Q22" s="56">
        <v>453930</v>
      </c>
      <c r="R22" s="56">
        <v>477061</v>
      </c>
      <c r="S22" s="56">
        <v>499088</v>
      </c>
      <c r="T22" s="56">
        <v>520593</v>
      </c>
      <c r="U22" s="56">
        <v>524635</v>
      </c>
      <c r="V22" s="56">
        <v>526419</v>
      </c>
      <c r="W22" s="56">
        <v>529319</v>
      </c>
      <c r="X22" s="56">
        <v>529964</v>
      </c>
      <c r="Y22" s="56">
        <v>528617</v>
      </c>
      <c r="Z22" s="56">
        <v>547795</v>
      </c>
      <c r="AA22" s="56">
        <v>551269</v>
      </c>
      <c r="AB22" s="56">
        <v>711102</v>
      </c>
      <c r="AC22" s="150"/>
      <c r="AD22" s="150"/>
    </row>
    <row r="23" spans="1:30" ht="13.5">
      <c r="A23" s="168"/>
      <c r="B23" s="12"/>
      <c r="C23" s="12" t="s">
        <v>15</v>
      </c>
      <c r="D23" s="12"/>
      <c r="E23" s="12"/>
      <c r="F23" s="56">
        <v>1283090</v>
      </c>
      <c r="G23" s="56">
        <v>1296641</v>
      </c>
      <c r="H23" s="56">
        <v>1351452</v>
      </c>
      <c r="I23" s="56">
        <v>1324691</v>
      </c>
      <c r="J23" s="56">
        <v>1300536</v>
      </c>
      <c r="K23" s="56">
        <v>1278079</v>
      </c>
      <c r="L23" s="56">
        <v>1262545</v>
      </c>
      <c r="M23" s="56">
        <v>1221053</v>
      </c>
      <c r="N23" s="56">
        <v>1166509</v>
      </c>
      <c r="O23" s="56">
        <v>1130004</v>
      </c>
      <c r="P23" s="56">
        <v>1080598</v>
      </c>
      <c r="Q23" s="56">
        <v>1015160</v>
      </c>
      <c r="R23" s="56">
        <v>950706</v>
      </c>
      <c r="S23" s="56">
        <v>899970</v>
      </c>
      <c r="T23" s="56">
        <v>852792</v>
      </c>
      <c r="U23" s="56">
        <v>816299</v>
      </c>
      <c r="V23" s="56">
        <v>796389</v>
      </c>
      <c r="W23" s="56">
        <v>781898</v>
      </c>
      <c r="X23" s="56">
        <v>773282</v>
      </c>
      <c r="Y23" s="56">
        <v>765292</v>
      </c>
      <c r="Z23" s="56">
        <v>769419</v>
      </c>
      <c r="AA23" s="56">
        <v>774727</v>
      </c>
      <c r="AB23" s="56">
        <v>775881</v>
      </c>
      <c r="AC23" s="111"/>
      <c r="AD23" s="159"/>
    </row>
    <row r="24" spans="1:30" ht="13.5">
      <c r="A24" s="168"/>
      <c r="B24" s="12"/>
      <c r="C24" s="12" t="s">
        <v>16</v>
      </c>
      <c r="D24" s="12"/>
      <c r="E24" s="12"/>
      <c r="F24" s="56">
        <v>1638993</v>
      </c>
      <c r="G24" s="56"/>
      <c r="H24" s="56">
        <v>1702399</v>
      </c>
      <c r="I24" s="56">
        <v>1698903</v>
      </c>
      <c r="J24" s="56">
        <v>1691255</v>
      </c>
      <c r="K24" s="56">
        <v>1701109</v>
      </c>
      <c r="L24" s="56">
        <v>1614625</v>
      </c>
      <c r="M24" s="56">
        <v>1579559</v>
      </c>
      <c r="N24" s="56">
        <v>1521437</v>
      </c>
      <c r="O24" s="56">
        <v>1517106</v>
      </c>
      <c r="P24" s="56">
        <v>1493645</v>
      </c>
      <c r="Q24" s="56">
        <v>1460763</v>
      </c>
      <c r="R24" s="56">
        <v>1432720</v>
      </c>
      <c r="S24" s="56">
        <v>1418301</v>
      </c>
      <c r="T24" s="56">
        <v>1417114</v>
      </c>
      <c r="U24" s="56">
        <v>1442588</v>
      </c>
      <c r="V24" s="56">
        <v>1447834</v>
      </c>
      <c r="W24" s="56">
        <v>1450155</v>
      </c>
      <c r="X24" s="56">
        <v>1461398</v>
      </c>
      <c r="Y24" s="56">
        <v>1474567</v>
      </c>
      <c r="Z24" s="56">
        <v>1553088</v>
      </c>
      <c r="AA24" s="56">
        <v>1626149</v>
      </c>
      <c r="AB24" s="56">
        <v>1629235</v>
      </c>
      <c r="AC24" s="150"/>
      <c r="AD24" s="150"/>
    </row>
    <row r="25" spans="1:30" ht="13.5">
      <c r="A25" s="168"/>
      <c r="B25" s="12"/>
      <c r="C25" s="12" t="s">
        <v>187</v>
      </c>
      <c r="D25" s="12"/>
      <c r="E25" s="12"/>
      <c r="F25" s="56">
        <v>468115</v>
      </c>
      <c r="G25" s="56">
        <v>461744</v>
      </c>
      <c r="H25" s="56">
        <v>450960</v>
      </c>
      <c r="I25" s="56">
        <v>433959</v>
      </c>
      <c r="J25" s="56">
        <v>420596</v>
      </c>
      <c r="K25" s="56">
        <v>412634</v>
      </c>
      <c r="L25" s="56">
        <v>415293</v>
      </c>
      <c r="M25" s="56">
        <v>438002</v>
      </c>
      <c r="N25" s="56">
        <v>484056</v>
      </c>
      <c r="O25" s="56">
        <v>523811</v>
      </c>
      <c r="P25" s="56">
        <v>565467</v>
      </c>
      <c r="Q25" s="56">
        <v>614430</v>
      </c>
      <c r="R25" s="56">
        <v>660295</v>
      </c>
      <c r="S25" s="56">
        <v>705701</v>
      </c>
      <c r="T25" s="56">
        <v>760520</v>
      </c>
      <c r="U25" s="56">
        <v>803784</v>
      </c>
      <c r="V25" s="56">
        <v>835607</v>
      </c>
      <c r="W25" s="56">
        <v>856017</v>
      </c>
      <c r="X25" s="56">
        <v>866353</v>
      </c>
      <c r="Y25" s="56">
        <v>878627</v>
      </c>
      <c r="Z25" s="56">
        <v>908815</v>
      </c>
      <c r="AA25" s="56">
        <v>921290</v>
      </c>
      <c r="AB25" s="56">
        <v>992315</v>
      </c>
      <c r="AC25" s="111"/>
      <c r="AD25" s="159"/>
    </row>
    <row r="26" spans="1:30" ht="13.5">
      <c r="A26" s="168"/>
      <c r="B26" s="12"/>
      <c r="C26" s="12" t="s">
        <v>11</v>
      </c>
      <c r="D26" s="12"/>
      <c r="E26" s="12"/>
      <c r="F26" s="56">
        <v>36029</v>
      </c>
      <c r="G26" s="56">
        <v>36835</v>
      </c>
      <c r="H26" s="56">
        <v>37423</v>
      </c>
      <c r="I26" s="56">
        <v>37662</v>
      </c>
      <c r="J26" s="56">
        <v>38083</v>
      </c>
      <c r="K26" s="56">
        <v>38515</v>
      </c>
      <c r="L26" s="56">
        <v>39169</v>
      </c>
      <c r="M26" s="56">
        <v>39973</v>
      </c>
      <c r="N26" s="56">
        <v>40855</v>
      </c>
      <c r="O26" s="56">
        <v>41485</v>
      </c>
      <c r="P26" s="56">
        <v>41854</v>
      </c>
      <c r="Q26" s="56">
        <v>41689</v>
      </c>
      <c r="R26" s="56">
        <v>41439</v>
      </c>
      <c r="S26" s="56">
        <v>41671</v>
      </c>
      <c r="T26" s="56">
        <v>41477</v>
      </c>
      <c r="U26" s="56">
        <v>41373</v>
      </c>
      <c r="V26" s="56">
        <v>41486</v>
      </c>
      <c r="W26" s="56">
        <v>41693</v>
      </c>
      <c r="X26" s="56">
        <v>42132</v>
      </c>
      <c r="Y26" s="56">
        <v>42181</v>
      </c>
      <c r="Z26" s="56">
        <v>42973</v>
      </c>
      <c r="AA26" s="56">
        <v>42988</v>
      </c>
      <c r="AB26" s="56">
        <v>43488</v>
      </c>
      <c r="AC26" s="111"/>
      <c r="AD26" s="159"/>
    </row>
    <row r="27" spans="1:30" ht="13.5">
      <c r="A27" s="168"/>
      <c r="B27" s="12"/>
      <c r="C27" s="12" t="s">
        <v>17</v>
      </c>
      <c r="D27" s="12"/>
      <c r="E27" s="12"/>
      <c r="F27" s="56">
        <v>1201</v>
      </c>
      <c r="G27" s="56">
        <v>1315</v>
      </c>
      <c r="H27" s="56">
        <v>1298</v>
      </c>
      <c r="I27" s="56">
        <v>1355</v>
      </c>
      <c r="J27" s="56">
        <v>1255</v>
      </c>
      <c r="K27" s="56">
        <v>1173</v>
      </c>
      <c r="L27" s="56">
        <v>1129</v>
      </c>
      <c r="M27" s="56">
        <v>1159</v>
      </c>
      <c r="N27" s="56">
        <v>1100</v>
      </c>
      <c r="O27" s="56">
        <v>1044</v>
      </c>
      <c r="P27" s="56">
        <v>1195</v>
      </c>
      <c r="Q27" s="56">
        <v>963</v>
      </c>
      <c r="R27" s="56">
        <v>977</v>
      </c>
      <c r="S27" s="56">
        <v>924</v>
      </c>
      <c r="T27" s="56">
        <v>1149</v>
      </c>
      <c r="U27" s="56">
        <v>1035</v>
      </c>
      <c r="V27" s="56">
        <v>973</v>
      </c>
      <c r="W27" s="56">
        <v>933</v>
      </c>
      <c r="X27" s="56">
        <v>800</v>
      </c>
      <c r="Y27" s="56">
        <v>700</v>
      </c>
      <c r="Z27" s="56">
        <v>725</v>
      </c>
      <c r="AA27" s="56">
        <v>725</v>
      </c>
      <c r="AB27" s="56">
        <v>767</v>
      </c>
    </row>
    <row r="28" spans="1:30" ht="13.5">
      <c r="A28" s="168"/>
      <c r="B28" s="13"/>
      <c r="C28" s="13" t="s">
        <v>18</v>
      </c>
      <c r="D28" s="13"/>
      <c r="E28" s="13"/>
      <c r="F28" s="56">
        <v>17269</v>
      </c>
      <c r="G28" s="56">
        <v>19225</v>
      </c>
      <c r="H28" s="56">
        <v>20726</v>
      </c>
      <c r="I28" s="56">
        <v>21656</v>
      </c>
      <c r="J28" s="56">
        <v>21582</v>
      </c>
      <c r="K28" s="56">
        <v>21317</v>
      </c>
      <c r="L28" s="56">
        <v>21196</v>
      </c>
      <c r="M28" s="56">
        <v>21583</v>
      </c>
      <c r="N28" s="56">
        <v>21317</v>
      </c>
      <c r="O28" s="56">
        <v>20472</v>
      </c>
      <c r="P28" s="56">
        <v>19555</v>
      </c>
      <c r="Q28" s="56">
        <v>19345</v>
      </c>
      <c r="R28" s="56">
        <v>19157</v>
      </c>
      <c r="S28" s="56">
        <v>18703</v>
      </c>
      <c r="T28" s="56">
        <v>17659</v>
      </c>
      <c r="U28" s="56">
        <v>16844</v>
      </c>
      <c r="V28" s="56">
        <v>16326</v>
      </c>
      <c r="W28" s="56">
        <v>15698</v>
      </c>
      <c r="X28" s="56">
        <v>15101</v>
      </c>
      <c r="Y28" s="56">
        <v>13836</v>
      </c>
      <c r="Z28" s="56">
        <v>12997</v>
      </c>
      <c r="AA28" s="56">
        <v>12840</v>
      </c>
      <c r="AB28" s="56">
        <v>12910</v>
      </c>
    </row>
    <row r="29" spans="1:30" ht="13.5">
      <c r="A29" s="168"/>
      <c r="B29" s="9" t="s">
        <v>125</v>
      </c>
      <c r="C29" s="9"/>
      <c r="D29" s="9"/>
      <c r="E29" s="9"/>
      <c r="F29" s="60">
        <v>3465300</v>
      </c>
      <c r="G29" s="60">
        <v>3515113</v>
      </c>
      <c r="H29" s="60">
        <v>3587710</v>
      </c>
      <c r="I29" s="60">
        <v>3631738</v>
      </c>
      <c r="J29" s="60">
        <v>3668726</v>
      </c>
      <c r="K29" s="60">
        <v>3694566</v>
      </c>
      <c r="L29" s="60">
        <v>3788085</v>
      </c>
      <c r="M29" s="60">
        <v>3796653</v>
      </c>
      <c r="N29" s="60">
        <v>3780318</v>
      </c>
      <c r="O29" s="60">
        <v>3672930</v>
      </c>
      <c r="P29" s="60">
        <v>3598798</v>
      </c>
      <c r="Q29" s="60">
        <v>3550022</v>
      </c>
      <c r="R29" s="60">
        <v>3532030</v>
      </c>
      <c r="S29" s="60">
        <v>3519564</v>
      </c>
      <c r="T29" s="60">
        <v>3518891</v>
      </c>
      <c r="U29" s="60">
        <v>3443541</v>
      </c>
      <c r="V29" s="60">
        <v>3379995</v>
      </c>
      <c r="W29" s="60">
        <v>3326108</v>
      </c>
      <c r="X29" s="60">
        <v>3294287</v>
      </c>
      <c r="Y29" s="60">
        <v>3256283</v>
      </c>
      <c r="Z29" s="60">
        <v>3163873</v>
      </c>
      <c r="AA29" s="60">
        <v>3093237</v>
      </c>
      <c r="AB29" s="60">
        <v>3088464</v>
      </c>
      <c r="AC29" s="150"/>
      <c r="AD29" s="150"/>
    </row>
    <row r="30" spans="1:30" ht="13.5">
      <c r="A30" s="168"/>
      <c r="B30" s="11" t="s">
        <v>127</v>
      </c>
      <c r="C30" s="11"/>
      <c r="D30" s="11"/>
      <c r="E30" s="11"/>
      <c r="F30" s="60">
        <v>766924</v>
      </c>
      <c r="G30" s="60">
        <v>789590</v>
      </c>
      <c r="H30" s="60">
        <v>825085</v>
      </c>
      <c r="I30" s="60">
        <v>861274</v>
      </c>
      <c r="J30" s="60">
        <v>886818</v>
      </c>
      <c r="K30" s="60">
        <v>891766</v>
      </c>
      <c r="L30" s="60">
        <v>982118</v>
      </c>
      <c r="M30" s="60">
        <v>1027850</v>
      </c>
      <c r="N30" s="60">
        <v>1092300</v>
      </c>
      <c r="O30" s="60">
        <v>1060439</v>
      </c>
      <c r="P30" s="60">
        <v>1041400</v>
      </c>
      <c r="Q30" s="60">
        <v>1019305</v>
      </c>
      <c r="R30" s="60">
        <v>1026027</v>
      </c>
      <c r="S30" s="60">
        <v>1022949</v>
      </c>
      <c r="T30" s="60">
        <v>1003678</v>
      </c>
      <c r="U30" s="60">
        <v>953215</v>
      </c>
      <c r="V30" s="60">
        <v>930591</v>
      </c>
      <c r="W30" s="60">
        <v>909986</v>
      </c>
      <c r="X30" s="60">
        <v>939823</v>
      </c>
      <c r="Y30" s="60">
        <v>943424</v>
      </c>
      <c r="Z30" s="60">
        <v>904099</v>
      </c>
      <c r="AA30" s="60">
        <v>837748</v>
      </c>
      <c r="AB30" s="60">
        <v>826720</v>
      </c>
      <c r="AC30" s="150"/>
      <c r="AD30" s="150"/>
    </row>
    <row r="31" spans="1:30" ht="13.5">
      <c r="A31" s="168"/>
      <c r="B31" s="12"/>
      <c r="C31" s="12" t="s">
        <v>16</v>
      </c>
      <c r="D31" s="12"/>
      <c r="E31" s="12"/>
      <c r="F31" s="56">
        <v>657736</v>
      </c>
      <c r="G31" s="56">
        <v>673610</v>
      </c>
      <c r="H31" s="56">
        <v>701644</v>
      </c>
      <c r="I31" s="56">
        <v>731558</v>
      </c>
      <c r="J31" s="56">
        <v>757686</v>
      </c>
      <c r="K31" s="56">
        <v>763891</v>
      </c>
      <c r="L31" s="56">
        <v>854324</v>
      </c>
      <c r="M31" s="56">
        <v>895812</v>
      </c>
      <c r="N31" s="56">
        <v>953737</v>
      </c>
      <c r="O31" s="56">
        <v>916022</v>
      </c>
      <c r="P31" s="56">
        <v>893945</v>
      </c>
      <c r="Q31" s="56">
        <v>869228</v>
      </c>
      <c r="R31" s="56">
        <v>870309</v>
      </c>
      <c r="S31" s="56">
        <v>859527</v>
      </c>
      <c r="T31" s="56">
        <v>836407</v>
      </c>
      <c r="U31" s="56">
        <v>783546</v>
      </c>
      <c r="V31" s="56">
        <v>759573</v>
      </c>
      <c r="W31" s="56">
        <v>741225</v>
      </c>
      <c r="X31" s="56">
        <v>764308</v>
      </c>
      <c r="Y31" s="56">
        <v>763341</v>
      </c>
      <c r="Z31" s="56">
        <v>723823</v>
      </c>
      <c r="AA31" s="56">
        <v>657227</v>
      </c>
      <c r="AB31" s="56">
        <v>652202</v>
      </c>
      <c r="AC31" s="111"/>
      <c r="AD31" s="159"/>
    </row>
    <row r="32" spans="1:30" ht="13.5">
      <c r="A32" s="168"/>
      <c r="B32" s="12"/>
      <c r="C32" s="12" t="s">
        <v>187</v>
      </c>
      <c r="D32" s="12"/>
      <c r="E32" s="12"/>
      <c r="F32" s="56">
        <v>62777</v>
      </c>
      <c r="G32" s="56">
        <v>66808</v>
      </c>
      <c r="H32" s="56">
        <v>71834</v>
      </c>
      <c r="I32" s="56">
        <v>76250</v>
      </c>
      <c r="J32" s="56">
        <v>76687</v>
      </c>
      <c r="K32" s="56">
        <v>76695</v>
      </c>
      <c r="L32" s="56">
        <v>77565</v>
      </c>
      <c r="M32" s="56">
        <v>80914</v>
      </c>
      <c r="N32" s="56">
        <v>86945</v>
      </c>
      <c r="O32" s="56">
        <v>92469</v>
      </c>
      <c r="P32" s="56">
        <v>96683</v>
      </c>
      <c r="Q32" s="56">
        <v>100495</v>
      </c>
      <c r="R32" s="56">
        <v>107547</v>
      </c>
      <c r="S32" s="56">
        <v>116570</v>
      </c>
      <c r="T32" s="56">
        <v>121874</v>
      </c>
      <c r="U32" s="56">
        <v>126408</v>
      </c>
      <c r="V32" s="56">
        <v>130156</v>
      </c>
      <c r="W32" s="56">
        <v>129934</v>
      </c>
      <c r="X32" s="56">
        <v>137377</v>
      </c>
      <c r="Y32" s="56">
        <v>144077</v>
      </c>
      <c r="Z32" s="56">
        <v>147128</v>
      </c>
      <c r="AA32" s="56">
        <v>148915</v>
      </c>
      <c r="AB32" s="56">
        <v>144194</v>
      </c>
    </row>
    <row r="33" spans="1:30" ht="13.5">
      <c r="A33" s="168"/>
      <c r="B33" s="12"/>
      <c r="C33" s="12" t="s">
        <v>11</v>
      </c>
      <c r="D33" s="12"/>
      <c r="E33" s="12"/>
      <c r="F33" s="56">
        <v>12750</v>
      </c>
      <c r="G33" s="56">
        <v>12993</v>
      </c>
      <c r="H33" s="56">
        <v>13430</v>
      </c>
      <c r="I33" s="56">
        <v>13999</v>
      </c>
      <c r="J33" s="56">
        <v>14310</v>
      </c>
      <c r="K33" s="56">
        <v>14289</v>
      </c>
      <c r="L33" s="56">
        <v>14490</v>
      </c>
      <c r="M33" s="56">
        <v>14223</v>
      </c>
      <c r="N33" s="56">
        <v>14433</v>
      </c>
      <c r="O33" s="56">
        <v>14536</v>
      </c>
      <c r="P33" s="56">
        <v>14632</v>
      </c>
      <c r="Q33" s="56">
        <v>14912</v>
      </c>
      <c r="R33" s="56">
        <v>15393</v>
      </c>
      <c r="S33" s="56">
        <v>15798</v>
      </c>
      <c r="T33" s="56">
        <v>16109</v>
      </c>
      <c r="U33" s="56">
        <v>16104</v>
      </c>
      <c r="V33" s="56">
        <v>15829</v>
      </c>
      <c r="W33" s="56">
        <v>15545</v>
      </c>
      <c r="X33" s="56">
        <v>15466</v>
      </c>
      <c r="Y33" s="56">
        <v>15125</v>
      </c>
      <c r="Z33" s="56">
        <v>14896</v>
      </c>
      <c r="AA33" s="56">
        <v>14703</v>
      </c>
      <c r="AB33" s="56">
        <v>14457</v>
      </c>
    </row>
    <row r="34" spans="1:30" ht="13.5">
      <c r="A34" s="168"/>
      <c r="B34" s="12"/>
      <c r="C34" s="12" t="s">
        <v>19</v>
      </c>
      <c r="D34" s="12"/>
      <c r="E34" s="12"/>
      <c r="F34" s="56">
        <v>18401</v>
      </c>
      <c r="G34" s="56">
        <v>19716</v>
      </c>
      <c r="H34" s="56">
        <v>20633</v>
      </c>
      <c r="I34" s="56">
        <v>21253</v>
      </c>
      <c r="J34" s="56">
        <v>20456</v>
      </c>
      <c r="K34" s="56">
        <v>19373</v>
      </c>
      <c r="L34" s="56">
        <v>18842</v>
      </c>
      <c r="M34" s="56">
        <v>19599</v>
      </c>
      <c r="N34" s="56">
        <v>19393</v>
      </c>
      <c r="O34" s="56">
        <v>19261</v>
      </c>
      <c r="P34" s="56">
        <v>18339</v>
      </c>
      <c r="Q34" s="56">
        <v>17510</v>
      </c>
      <c r="R34" s="56">
        <v>16426</v>
      </c>
      <c r="S34" s="56">
        <v>15388</v>
      </c>
      <c r="T34" s="56">
        <v>14197</v>
      </c>
      <c r="U34" s="56">
        <v>13092</v>
      </c>
      <c r="V34" s="56">
        <v>11852</v>
      </c>
      <c r="W34" s="56">
        <v>10970</v>
      </c>
      <c r="X34" s="56">
        <v>10623</v>
      </c>
      <c r="Y34" s="56">
        <v>9801</v>
      </c>
      <c r="Z34" s="56">
        <v>8377</v>
      </c>
      <c r="AA34" s="56">
        <v>7580</v>
      </c>
      <c r="AB34" s="56">
        <v>7369</v>
      </c>
    </row>
    <row r="35" spans="1:30" ht="13.5">
      <c r="A35" s="168"/>
      <c r="B35" s="14"/>
      <c r="C35" s="14" t="s">
        <v>20</v>
      </c>
      <c r="D35" s="14"/>
      <c r="E35" s="14"/>
      <c r="F35" s="56">
        <v>15260</v>
      </c>
      <c r="G35" s="56">
        <v>16463</v>
      </c>
      <c r="H35" s="56">
        <v>17544</v>
      </c>
      <c r="I35" s="56">
        <v>18214</v>
      </c>
      <c r="J35" s="56">
        <v>17679</v>
      </c>
      <c r="K35" s="56">
        <v>17518</v>
      </c>
      <c r="L35" s="56">
        <v>16897</v>
      </c>
      <c r="M35" s="56">
        <v>17302</v>
      </c>
      <c r="N35" s="56">
        <v>17792</v>
      </c>
      <c r="O35" s="56">
        <v>18151</v>
      </c>
      <c r="P35" s="56">
        <v>17801</v>
      </c>
      <c r="Q35" s="56">
        <v>17160</v>
      </c>
      <c r="R35" s="56">
        <v>16352</v>
      </c>
      <c r="S35" s="56">
        <v>15666</v>
      </c>
      <c r="T35" s="56">
        <v>15091</v>
      </c>
      <c r="U35" s="56">
        <v>14065</v>
      </c>
      <c r="V35" s="56">
        <v>13181</v>
      </c>
      <c r="W35" s="56">
        <v>12312</v>
      </c>
      <c r="X35" s="56">
        <v>12049</v>
      </c>
      <c r="Y35" s="56">
        <v>11080</v>
      </c>
      <c r="Z35" s="56">
        <v>9875</v>
      </c>
      <c r="AA35" s="56">
        <v>9323</v>
      </c>
      <c r="AB35" s="56">
        <v>8498</v>
      </c>
    </row>
    <row r="36" spans="1:30" ht="16.5" customHeight="1">
      <c r="A36" s="168"/>
      <c r="B36" s="15"/>
      <c r="C36" s="15"/>
      <c r="D36" s="15"/>
      <c r="E36" s="15"/>
      <c r="F36" s="60"/>
      <c r="G36" s="60"/>
      <c r="H36" s="60"/>
      <c r="I36" s="60"/>
      <c r="J36" s="60"/>
      <c r="K36" s="60"/>
      <c r="L36" s="60"/>
      <c r="M36" s="60"/>
      <c r="N36" s="60"/>
      <c r="O36" s="60"/>
      <c r="P36" s="60"/>
      <c r="Q36" s="60"/>
      <c r="R36" s="60"/>
      <c r="S36" s="60"/>
      <c r="T36" s="60"/>
      <c r="U36" s="60"/>
      <c r="V36" s="60"/>
      <c r="W36" s="60"/>
      <c r="X36" s="60"/>
      <c r="Y36" s="60"/>
      <c r="Z36" s="60"/>
      <c r="AA36" s="60"/>
      <c r="AB36" s="60"/>
    </row>
    <row r="37" spans="1:30" ht="13.5">
      <c r="A37" s="168">
        <v>54</v>
      </c>
      <c r="B37" s="10" t="s">
        <v>128</v>
      </c>
      <c r="C37" s="10"/>
      <c r="D37" s="10"/>
      <c r="E37" s="10"/>
      <c r="F37" s="61">
        <v>2698376</v>
      </c>
      <c r="G37" s="61">
        <v>2725523</v>
      </c>
      <c r="H37" s="61">
        <v>2762625</v>
      </c>
      <c r="I37" s="61">
        <v>2770464</v>
      </c>
      <c r="J37" s="61">
        <v>2781908</v>
      </c>
      <c r="K37" s="61">
        <v>2802800</v>
      </c>
      <c r="L37" s="61">
        <v>2805967</v>
      </c>
      <c r="M37" s="61">
        <v>2768803</v>
      </c>
      <c r="N37" s="61">
        <v>2688018</v>
      </c>
      <c r="O37" s="61">
        <v>2612491</v>
      </c>
      <c r="P37" s="61">
        <v>2557398</v>
      </c>
      <c r="Q37" s="61">
        <v>2530717</v>
      </c>
      <c r="R37" s="61">
        <v>2506003</v>
      </c>
      <c r="S37" s="61">
        <v>2496615</v>
      </c>
      <c r="T37" s="61">
        <v>2515213</v>
      </c>
      <c r="U37" s="61">
        <v>2490326</v>
      </c>
      <c r="V37" s="61">
        <v>2449404</v>
      </c>
      <c r="W37" s="61">
        <v>2416122</v>
      </c>
      <c r="X37" s="61">
        <v>2354464</v>
      </c>
      <c r="Y37" s="61">
        <v>2312859</v>
      </c>
      <c r="Z37" s="61">
        <v>2259774</v>
      </c>
      <c r="AA37" s="61">
        <v>2255489</v>
      </c>
      <c r="AB37" s="61">
        <v>2261744</v>
      </c>
      <c r="AC37" s="150"/>
      <c r="AD37" s="150"/>
    </row>
    <row r="38" spans="1:30" ht="13.5">
      <c r="A38" s="168"/>
      <c r="B38" s="12"/>
      <c r="C38" s="12" t="s">
        <v>21</v>
      </c>
      <c r="D38" s="12"/>
      <c r="E38" s="12"/>
      <c r="F38" s="62">
        <v>1854596</v>
      </c>
      <c r="G38" s="62">
        <v>1813853</v>
      </c>
      <c r="H38" s="62">
        <v>1800759</v>
      </c>
      <c r="I38" s="62">
        <v>1784407</v>
      </c>
      <c r="J38" s="62">
        <v>1789206</v>
      </c>
      <c r="K38" s="62">
        <v>1818044</v>
      </c>
      <c r="L38" s="62">
        <v>1826363</v>
      </c>
      <c r="M38" s="62">
        <v>1770685</v>
      </c>
      <c r="N38" s="62">
        <v>1697868</v>
      </c>
      <c r="O38" s="56">
        <v>1637527</v>
      </c>
      <c r="P38" s="56">
        <v>1596271</v>
      </c>
      <c r="Q38" s="56">
        <v>1560019</v>
      </c>
      <c r="R38" s="56">
        <v>1527429</v>
      </c>
      <c r="S38" s="56">
        <v>1512052</v>
      </c>
      <c r="T38" s="56">
        <v>1545436</v>
      </c>
      <c r="U38" s="56">
        <v>1537946</v>
      </c>
      <c r="V38" s="56">
        <v>1522202</v>
      </c>
      <c r="W38" s="56">
        <v>1509022</v>
      </c>
      <c r="X38" s="56">
        <v>1445686</v>
      </c>
      <c r="Y38" s="56">
        <v>1418967</v>
      </c>
      <c r="Z38" s="56">
        <v>1404279</v>
      </c>
      <c r="AA38" s="56">
        <v>1418984</v>
      </c>
      <c r="AB38" s="62">
        <v>1443515</v>
      </c>
      <c r="AC38" s="111"/>
      <c r="AD38" s="159"/>
    </row>
    <row r="39" spans="1:30" ht="13.5">
      <c r="A39" s="168"/>
      <c r="B39" s="12"/>
      <c r="C39" s="12"/>
      <c r="D39" s="12" t="s">
        <v>22</v>
      </c>
      <c r="E39" s="12"/>
      <c r="F39" s="56">
        <v>1733183</v>
      </c>
      <c r="G39" s="56">
        <v>1685711</v>
      </c>
      <c r="H39" s="56">
        <v>1672824</v>
      </c>
      <c r="I39" s="56">
        <v>1658070</v>
      </c>
      <c r="J39" s="56">
        <v>1670586</v>
      </c>
      <c r="K39" s="56">
        <v>1713437</v>
      </c>
      <c r="L39" s="56">
        <v>1731096</v>
      </c>
      <c r="M39" s="56">
        <v>1686366</v>
      </c>
      <c r="N39" s="56">
        <v>1618486</v>
      </c>
      <c r="O39" s="56">
        <v>1563918</v>
      </c>
      <c r="P39" s="56">
        <v>1524076</v>
      </c>
      <c r="Q39" s="56">
        <v>1487737</v>
      </c>
      <c r="R39" s="56">
        <v>1450641</v>
      </c>
      <c r="S39" s="56">
        <v>1423405</v>
      </c>
      <c r="T39" s="56">
        <v>1415389</v>
      </c>
      <c r="U39" s="56">
        <v>1411742</v>
      </c>
      <c r="V39" s="56">
        <v>1417883</v>
      </c>
      <c r="W39" s="56">
        <v>1413759</v>
      </c>
      <c r="X39" s="56">
        <v>1356629</v>
      </c>
      <c r="Y39" s="56">
        <v>1330850</v>
      </c>
      <c r="Z39" s="56">
        <v>1293889</v>
      </c>
      <c r="AA39" s="56">
        <v>1291254</v>
      </c>
      <c r="AB39" s="56">
        <v>1295760</v>
      </c>
    </row>
    <row r="40" spans="1:30" ht="13.5">
      <c r="A40" s="168"/>
      <c r="B40" s="12"/>
      <c r="C40" s="12"/>
      <c r="D40" s="12" t="s">
        <v>23</v>
      </c>
      <c r="E40" s="12"/>
      <c r="F40" s="56">
        <v>78159</v>
      </c>
      <c r="G40" s="56">
        <v>79109</v>
      </c>
      <c r="H40" s="56">
        <v>80559</v>
      </c>
      <c r="I40" s="56">
        <v>77660</v>
      </c>
      <c r="J40" s="56">
        <v>71907</v>
      </c>
      <c r="K40" s="56">
        <v>62077</v>
      </c>
      <c r="L40" s="56">
        <v>55302</v>
      </c>
      <c r="M40" s="56">
        <v>54716</v>
      </c>
      <c r="N40" s="56">
        <v>51811</v>
      </c>
      <c r="O40" s="56">
        <v>48941</v>
      </c>
      <c r="P40" s="56">
        <v>48810</v>
      </c>
      <c r="Q40" s="56">
        <v>49230</v>
      </c>
      <c r="R40" s="56">
        <v>53461</v>
      </c>
      <c r="S40" s="56">
        <v>65592</v>
      </c>
      <c r="T40" s="56">
        <v>123226</v>
      </c>
      <c r="U40" s="56">
        <v>119462</v>
      </c>
      <c r="V40" s="56">
        <v>97991</v>
      </c>
      <c r="W40" s="56">
        <v>89190</v>
      </c>
      <c r="X40" s="56">
        <v>84154</v>
      </c>
      <c r="Y40" s="56">
        <v>83208</v>
      </c>
      <c r="Z40" s="56">
        <v>105632</v>
      </c>
      <c r="AA40" s="56">
        <v>122935</v>
      </c>
      <c r="AB40" s="56">
        <v>143034</v>
      </c>
    </row>
    <row r="41" spans="1:30" ht="13.5">
      <c r="A41" s="168"/>
      <c r="B41" s="12"/>
      <c r="C41" s="12"/>
      <c r="D41" s="12" t="s">
        <v>24</v>
      </c>
      <c r="E41" s="12"/>
      <c r="F41" s="56">
        <v>43254</v>
      </c>
      <c r="G41" s="56">
        <v>49033</v>
      </c>
      <c r="H41" s="56">
        <v>47376</v>
      </c>
      <c r="I41" s="56">
        <v>48677</v>
      </c>
      <c r="J41" s="56">
        <v>46713</v>
      </c>
      <c r="K41" s="56">
        <v>42530</v>
      </c>
      <c r="L41" s="56">
        <v>39965</v>
      </c>
      <c r="M41" s="56">
        <v>29603</v>
      </c>
      <c r="N41" s="56">
        <v>27571</v>
      </c>
      <c r="O41" s="56">
        <v>24668</v>
      </c>
      <c r="P41" s="56">
        <v>23385</v>
      </c>
      <c r="Q41" s="56">
        <v>23052</v>
      </c>
      <c r="R41" s="56">
        <v>23327</v>
      </c>
      <c r="S41" s="56">
        <v>23055</v>
      </c>
      <c r="T41" s="56">
        <v>6821</v>
      </c>
      <c r="U41" s="56">
        <v>6742</v>
      </c>
      <c r="V41" s="56">
        <v>6328</v>
      </c>
      <c r="W41" s="56">
        <v>6073</v>
      </c>
      <c r="X41" s="56">
        <v>4903</v>
      </c>
      <c r="Y41" s="56">
        <v>4909</v>
      </c>
      <c r="Z41" s="56">
        <v>4758</v>
      </c>
      <c r="AA41" s="56">
        <v>4795</v>
      </c>
      <c r="AB41" s="56">
        <v>4721</v>
      </c>
    </row>
    <row r="42" spans="1:30" ht="13.5">
      <c r="A42" s="168"/>
      <c r="B42" s="12"/>
      <c r="C42" s="12" t="s">
        <v>25</v>
      </c>
      <c r="D42" s="12"/>
      <c r="E42" s="12"/>
      <c r="F42" s="56">
        <v>732</v>
      </c>
      <c r="G42" s="56">
        <v>719</v>
      </c>
      <c r="H42" s="56">
        <v>671</v>
      </c>
      <c r="I42" s="56">
        <v>684</v>
      </c>
      <c r="J42" s="56">
        <v>630</v>
      </c>
      <c r="K42" s="56">
        <v>551</v>
      </c>
      <c r="L42" s="56">
        <v>493</v>
      </c>
      <c r="M42" s="56">
        <v>596</v>
      </c>
      <c r="N42" s="56">
        <v>533</v>
      </c>
      <c r="O42" s="56">
        <v>481</v>
      </c>
      <c r="P42" s="56">
        <v>427</v>
      </c>
      <c r="Q42" s="56">
        <v>360</v>
      </c>
      <c r="R42" s="56">
        <v>298</v>
      </c>
      <c r="S42" s="56">
        <v>236</v>
      </c>
      <c r="T42" s="56">
        <v>147</v>
      </c>
      <c r="U42" s="56">
        <v>118</v>
      </c>
      <c r="V42" s="56">
        <v>45</v>
      </c>
      <c r="W42" s="56">
        <v>51</v>
      </c>
      <c r="X42" s="56">
        <v>42</v>
      </c>
      <c r="Y42" s="56">
        <v>33</v>
      </c>
      <c r="Z42" s="56">
        <v>26</v>
      </c>
      <c r="AA42" s="56">
        <v>0</v>
      </c>
      <c r="AB42" s="56">
        <v>21</v>
      </c>
    </row>
    <row r="43" spans="1:30" ht="13.5">
      <c r="A43" s="168"/>
      <c r="B43" s="12"/>
      <c r="C43" s="12" t="s">
        <v>26</v>
      </c>
      <c r="D43" s="12"/>
      <c r="E43" s="12"/>
      <c r="F43" s="56">
        <v>452250</v>
      </c>
      <c r="G43" s="56">
        <v>498200</v>
      </c>
      <c r="H43" s="56">
        <v>541718</v>
      </c>
      <c r="I43" s="56">
        <v>560520</v>
      </c>
      <c r="J43" s="56">
        <v>566219</v>
      </c>
      <c r="K43" s="56">
        <v>530272</v>
      </c>
      <c r="L43" s="56">
        <v>510855</v>
      </c>
      <c r="M43" s="56">
        <v>499493</v>
      </c>
      <c r="N43" s="56">
        <v>478396</v>
      </c>
      <c r="O43" s="56">
        <v>455189</v>
      </c>
      <c r="P43" s="56">
        <v>436925</v>
      </c>
      <c r="Q43" s="56">
        <v>431200</v>
      </c>
      <c r="R43" s="56">
        <v>425846</v>
      </c>
      <c r="S43" s="56">
        <v>431146</v>
      </c>
      <c r="T43" s="56">
        <v>423740</v>
      </c>
      <c r="U43" s="56">
        <v>420824</v>
      </c>
      <c r="V43" s="56">
        <v>415849</v>
      </c>
      <c r="W43" s="56">
        <v>411655</v>
      </c>
      <c r="X43" s="56">
        <v>415697</v>
      </c>
      <c r="Y43" s="56">
        <v>403267</v>
      </c>
      <c r="Z43" s="56">
        <v>379892</v>
      </c>
      <c r="AA43" s="56">
        <v>376312</v>
      </c>
      <c r="AB43" s="56">
        <v>372612</v>
      </c>
    </row>
    <row r="44" spans="1:30" ht="13.5">
      <c r="A44" s="168"/>
      <c r="B44" s="12"/>
      <c r="C44" s="12" t="s">
        <v>27</v>
      </c>
      <c r="D44" s="12"/>
      <c r="E44" s="12"/>
      <c r="F44" s="56">
        <v>12471</v>
      </c>
      <c r="G44" s="56">
        <v>13674</v>
      </c>
      <c r="H44" s="56">
        <v>17522</v>
      </c>
      <c r="I44" s="56">
        <v>19015</v>
      </c>
      <c r="J44" s="56">
        <v>19372</v>
      </c>
      <c r="K44" s="56">
        <v>19252</v>
      </c>
      <c r="L44" s="56">
        <v>20385</v>
      </c>
      <c r="M44" s="56">
        <v>23662</v>
      </c>
      <c r="N44" s="56">
        <v>24666</v>
      </c>
      <c r="O44" s="56">
        <v>24768</v>
      </c>
      <c r="P44" s="56">
        <v>23196</v>
      </c>
      <c r="Q44" s="56">
        <v>22033</v>
      </c>
      <c r="R44" s="56">
        <v>20750</v>
      </c>
      <c r="S44" s="56">
        <v>19175</v>
      </c>
      <c r="T44" s="56">
        <v>16973</v>
      </c>
      <c r="U44" s="56">
        <v>15124</v>
      </c>
      <c r="V44" s="56">
        <v>13814</v>
      </c>
      <c r="W44" s="56">
        <v>12182</v>
      </c>
      <c r="X44" s="56">
        <v>11362</v>
      </c>
      <c r="Y44" s="56">
        <v>11134</v>
      </c>
      <c r="Z44" s="56">
        <v>9684</v>
      </c>
      <c r="AA44" s="56">
        <v>8243</v>
      </c>
      <c r="AB44" s="56">
        <v>7375</v>
      </c>
    </row>
    <row r="45" spans="1:30" ht="13.5">
      <c r="A45" s="168"/>
      <c r="B45" s="12"/>
      <c r="C45" s="12" t="s">
        <v>28</v>
      </c>
      <c r="D45" s="12"/>
      <c r="E45" s="12"/>
      <c r="F45" s="56">
        <v>108915</v>
      </c>
      <c r="G45" s="56">
        <v>114513</v>
      </c>
      <c r="H45" s="56">
        <v>117480</v>
      </c>
      <c r="I45" s="56">
        <v>121142</v>
      </c>
      <c r="J45" s="56">
        <v>124085</v>
      </c>
      <c r="K45" s="56">
        <v>151854</v>
      </c>
      <c r="L45" s="56">
        <v>154075</v>
      </c>
      <c r="M45" s="56">
        <v>158876</v>
      </c>
      <c r="N45" s="56">
        <v>163294</v>
      </c>
      <c r="O45" s="56">
        <v>168359</v>
      </c>
      <c r="P45" s="56">
        <v>172879</v>
      </c>
      <c r="Q45" s="56">
        <v>180712</v>
      </c>
      <c r="R45" s="56">
        <v>189962</v>
      </c>
      <c r="S45" s="56">
        <v>194696</v>
      </c>
      <c r="T45" s="56">
        <v>193184</v>
      </c>
      <c r="U45" s="56">
        <v>188187</v>
      </c>
      <c r="V45" s="56">
        <v>179881</v>
      </c>
      <c r="W45" s="56">
        <v>173193</v>
      </c>
      <c r="X45" s="56">
        <v>172162</v>
      </c>
      <c r="Y45" s="56">
        <v>170920</v>
      </c>
      <c r="Z45" s="56">
        <v>166644</v>
      </c>
      <c r="AA45" s="56">
        <v>161631</v>
      </c>
      <c r="AB45" s="56">
        <v>156650</v>
      </c>
    </row>
    <row r="46" spans="1:30" ht="13.5">
      <c r="A46" s="168"/>
      <c r="B46" s="12"/>
      <c r="C46" s="12" t="s">
        <v>29</v>
      </c>
      <c r="D46" s="12"/>
      <c r="E46" s="12"/>
      <c r="F46" s="56">
        <v>106187</v>
      </c>
      <c r="G46" s="56">
        <v>117006</v>
      </c>
      <c r="H46" s="56">
        <v>121697</v>
      </c>
      <c r="I46" s="56">
        <v>125579</v>
      </c>
      <c r="J46" s="56">
        <v>130286</v>
      </c>
      <c r="K46" s="56">
        <v>129826</v>
      </c>
      <c r="L46" s="56">
        <v>134329</v>
      </c>
      <c r="M46" s="56">
        <v>140291</v>
      </c>
      <c r="N46" s="56">
        <v>139866</v>
      </c>
      <c r="O46" s="56">
        <v>137478</v>
      </c>
      <c r="P46" s="56">
        <v>134174</v>
      </c>
      <c r="Q46" s="56">
        <v>136770</v>
      </c>
      <c r="R46" s="56">
        <v>139556</v>
      </c>
      <c r="S46" s="56">
        <v>139450</v>
      </c>
      <c r="T46" s="56">
        <v>139030</v>
      </c>
      <c r="U46" s="56">
        <v>136144</v>
      </c>
      <c r="V46" s="56">
        <v>128425</v>
      </c>
      <c r="W46" s="56">
        <v>122371</v>
      </c>
      <c r="X46" s="56">
        <v>122377</v>
      </c>
      <c r="Y46" s="56">
        <v>121833</v>
      </c>
      <c r="Z46" s="56">
        <v>118623</v>
      </c>
      <c r="AA46" s="56">
        <v>115972</v>
      </c>
      <c r="AB46" s="56">
        <v>114702</v>
      </c>
    </row>
    <row r="47" spans="1:30" ht="13.5">
      <c r="A47" s="168"/>
      <c r="B47" s="12"/>
      <c r="C47" s="12" t="s">
        <v>30</v>
      </c>
      <c r="D47" s="12"/>
      <c r="E47" s="12"/>
      <c r="F47" s="56">
        <v>155987</v>
      </c>
      <c r="G47" s="56">
        <v>160135</v>
      </c>
      <c r="H47" s="56">
        <v>155230</v>
      </c>
      <c r="I47" s="56">
        <v>151686</v>
      </c>
      <c r="J47" s="56">
        <v>144507</v>
      </c>
      <c r="K47" s="56">
        <v>145473</v>
      </c>
      <c r="L47" s="56">
        <v>152268</v>
      </c>
      <c r="M47" s="56">
        <v>167554</v>
      </c>
      <c r="N47" s="56">
        <v>175585</v>
      </c>
      <c r="O47" s="56">
        <v>180612</v>
      </c>
      <c r="P47" s="56">
        <v>185202</v>
      </c>
      <c r="Q47" s="56">
        <v>190965</v>
      </c>
      <c r="R47" s="56">
        <v>193416</v>
      </c>
      <c r="S47" s="56">
        <v>191009</v>
      </c>
      <c r="T47" s="56">
        <v>187682</v>
      </c>
      <c r="U47" s="56">
        <v>182746</v>
      </c>
      <c r="V47" s="56">
        <v>179706</v>
      </c>
      <c r="W47" s="56">
        <v>177934</v>
      </c>
      <c r="X47" s="56">
        <v>177034</v>
      </c>
      <c r="Y47" s="56">
        <v>176164</v>
      </c>
      <c r="Z47" s="56">
        <v>166702</v>
      </c>
      <c r="AA47" s="56">
        <v>159644</v>
      </c>
      <c r="AB47" s="56">
        <v>152853</v>
      </c>
    </row>
    <row r="48" spans="1:30" ht="13.5">
      <c r="A48" s="168"/>
      <c r="B48" s="12"/>
      <c r="C48" s="12" t="s">
        <v>31</v>
      </c>
      <c r="D48" s="12"/>
      <c r="E48" s="12"/>
      <c r="F48" s="63">
        <v>7238</v>
      </c>
      <c r="G48" s="63">
        <v>7423</v>
      </c>
      <c r="H48" s="63">
        <v>7548</v>
      </c>
      <c r="I48" s="63">
        <v>7431</v>
      </c>
      <c r="J48" s="63">
        <v>7603</v>
      </c>
      <c r="K48" s="63">
        <v>7528</v>
      </c>
      <c r="L48" s="63">
        <v>7199</v>
      </c>
      <c r="M48" s="63">
        <v>7646</v>
      </c>
      <c r="N48" s="63">
        <v>7810</v>
      </c>
      <c r="O48" s="56">
        <v>8077</v>
      </c>
      <c r="P48" s="56">
        <v>8324</v>
      </c>
      <c r="Q48" s="56">
        <v>8658</v>
      </c>
      <c r="R48" s="56">
        <v>8746</v>
      </c>
      <c r="S48" s="56">
        <v>8851</v>
      </c>
      <c r="T48" s="56">
        <v>9021</v>
      </c>
      <c r="U48" s="56">
        <v>9237</v>
      </c>
      <c r="V48" s="56">
        <v>9482</v>
      </c>
      <c r="W48" s="56">
        <v>9714</v>
      </c>
      <c r="X48" s="56">
        <v>10104</v>
      </c>
      <c r="Y48" s="56">
        <v>10541</v>
      </c>
      <c r="Z48" s="56">
        <v>13924</v>
      </c>
      <c r="AA48" s="56">
        <v>14703</v>
      </c>
      <c r="AB48" s="63">
        <v>14016</v>
      </c>
    </row>
    <row r="49" spans="1:28" ht="13.5">
      <c r="A49" s="168"/>
      <c r="B49" s="16" t="s">
        <v>129</v>
      </c>
      <c r="C49" s="16"/>
      <c r="D49" s="16"/>
      <c r="E49" s="16"/>
      <c r="F49" s="60">
        <v>835047</v>
      </c>
      <c r="G49" s="60">
        <v>907100</v>
      </c>
      <c r="H49" s="60">
        <v>954603</v>
      </c>
      <c r="I49" s="60">
        <v>979023</v>
      </c>
      <c r="J49" s="60">
        <v>982505</v>
      </c>
      <c r="K49" s="60">
        <v>962898</v>
      </c>
      <c r="L49" s="60">
        <v>944399</v>
      </c>
      <c r="M49" s="60">
        <v>947675</v>
      </c>
      <c r="N49" s="60">
        <v>934046</v>
      </c>
      <c r="O49" s="60">
        <v>914817</v>
      </c>
      <c r="P49" s="60">
        <v>896639</v>
      </c>
      <c r="Q49" s="60">
        <v>901326</v>
      </c>
      <c r="R49" s="60">
        <v>911341</v>
      </c>
      <c r="S49" s="60">
        <v>930545</v>
      </c>
      <c r="T49" s="60">
        <v>957940</v>
      </c>
      <c r="U49" s="60">
        <v>939065</v>
      </c>
      <c r="V49" s="60">
        <v>893202</v>
      </c>
      <c r="W49" s="60">
        <v>862760</v>
      </c>
      <c r="X49" s="60">
        <v>859108</v>
      </c>
      <c r="Y49" s="60">
        <v>845014</v>
      </c>
      <c r="Z49" s="60">
        <v>835051</v>
      </c>
      <c r="AA49" s="60">
        <v>837075</v>
      </c>
      <c r="AB49" s="60">
        <v>837143</v>
      </c>
    </row>
    <row r="50" spans="1:28" ht="13.5">
      <c r="A50" s="168"/>
      <c r="B50" s="12"/>
      <c r="C50" s="12" t="s">
        <v>21</v>
      </c>
      <c r="D50" s="12"/>
      <c r="E50" s="12"/>
      <c r="F50" s="56">
        <v>101400</v>
      </c>
      <c r="G50" s="56">
        <v>112593</v>
      </c>
      <c r="H50" s="56">
        <v>110728</v>
      </c>
      <c r="I50" s="56">
        <v>110064</v>
      </c>
      <c r="J50" s="56">
        <v>105202</v>
      </c>
      <c r="K50" s="56">
        <v>92565</v>
      </c>
      <c r="L50" s="56">
        <v>85402</v>
      </c>
      <c r="M50" s="56">
        <v>75503</v>
      </c>
      <c r="N50" s="56">
        <v>71462</v>
      </c>
      <c r="O50" s="56">
        <v>67870</v>
      </c>
      <c r="P50" s="56">
        <v>66757</v>
      </c>
      <c r="Q50" s="56">
        <v>66927</v>
      </c>
      <c r="R50" s="56">
        <v>71618</v>
      </c>
      <c r="S50" s="56">
        <v>83612</v>
      </c>
      <c r="T50" s="56">
        <v>124973</v>
      </c>
      <c r="U50" s="56">
        <v>120727</v>
      </c>
      <c r="V50" s="56">
        <v>98970</v>
      </c>
      <c r="W50" s="56">
        <v>89859</v>
      </c>
      <c r="X50" s="56">
        <v>82977</v>
      </c>
      <c r="Y50" s="56">
        <v>82199</v>
      </c>
      <c r="Z50" s="56">
        <v>104506</v>
      </c>
      <c r="AA50" s="56">
        <v>121689</v>
      </c>
      <c r="AB50" s="56">
        <v>141263</v>
      </c>
    </row>
    <row r="51" spans="1:28" ht="13.5">
      <c r="A51" s="168"/>
      <c r="B51" s="12"/>
      <c r="C51" s="12"/>
      <c r="D51" s="12" t="s">
        <v>23</v>
      </c>
      <c r="E51" s="12"/>
      <c r="F51" s="56">
        <v>58146</v>
      </c>
      <c r="G51" s="56">
        <v>63560</v>
      </c>
      <c r="H51" s="56">
        <v>63352</v>
      </c>
      <c r="I51" s="56">
        <v>61387</v>
      </c>
      <c r="J51" s="56">
        <v>58489</v>
      </c>
      <c r="K51" s="56">
        <v>50035</v>
      </c>
      <c r="L51" s="56">
        <v>45437</v>
      </c>
      <c r="M51" s="56">
        <v>45900</v>
      </c>
      <c r="N51" s="56">
        <v>43891</v>
      </c>
      <c r="O51" s="56">
        <v>43202</v>
      </c>
      <c r="P51" s="56">
        <v>43372</v>
      </c>
      <c r="Q51" s="56">
        <v>43875</v>
      </c>
      <c r="R51" s="56">
        <v>48291</v>
      </c>
      <c r="S51" s="56">
        <v>60557</v>
      </c>
      <c r="T51" s="56">
        <v>118152</v>
      </c>
      <c r="U51" s="56">
        <v>113985</v>
      </c>
      <c r="V51" s="56">
        <v>92642</v>
      </c>
      <c r="W51" s="56">
        <v>83786</v>
      </c>
      <c r="X51" s="56">
        <v>78074</v>
      </c>
      <c r="Y51" s="56">
        <v>77290</v>
      </c>
      <c r="Z51" s="56">
        <v>99748</v>
      </c>
      <c r="AA51" s="56">
        <v>116894</v>
      </c>
      <c r="AB51" s="56">
        <v>136542</v>
      </c>
    </row>
    <row r="52" spans="1:28" ht="13.5">
      <c r="A52" s="168"/>
      <c r="B52" s="12"/>
      <c r="C52" s="12"/>
      <c r="D52" s="12" t="s">
        <v>24</v>
      </c>
      <c r="E52" s="12"/>
      <c r="F52" s="56">
        <v>43254</v>
      </c>
      <c r="G52" s="56">
        <v>49033</v>
      </c>
      <c r="H52" s="56">
        <v>47376</v>
      </c>
      <c r="I52" s="56">
        <v>48677</v>
      </c>
      <c r="J52" s="56">
        <v>46713</v>
      </c>
      <c r="K52" s="56">
        <v>42530</v>
      </c>
      <c r="L52" s="56">
        <v>39965</v>
      </c>
      <c r="M52" s="56">
        <v>29603</v>
      </c>
      <c r="N52" s="56">
        <v>27571</v>
      </c>
      <c r="O52" s="56">
        <v>24668</v>
      </c>
      <c r="P52" s="56">
        <v>23385</v>
      </c>
      <c r="Q52" s="56">
        <v>23052</v>
      </c>
      <c r="R52" s="56">
        <v>23327</v>
      </c>
      <c r="S52" s="56">
        <v>23055</v>
      </c>
      <c r="T52" s="56">
        <v>6821</v>
      </c>
      <c r="U52" s="56">
        <v>6742</v>
      </c>
      <c r="V52" s="56">
        <v>6328</v>
      </c>
      <c r="W52" s="56">
        <v>6073</v>
      </c>
      <c r="X52" s="56">
        <v>4903</v>
      </c>
      <c r="Y52" s="56">
        <v>4909</v>
      </c>
      <c r="Z52" s="56">
        <v>4758</v>
      </c>
      <c r="AA52" s="56">
        <v>4795</v>
      </c>
      <c r="AB52" s="56">
        <v>4721</v>
      </c>
    </row>
    <row r="53" spans="1:28" ht="13.5">
      <c r="A53" s="168"/>
      <c r="B53" s="12"/>
      <c r="C53" s="12" t="s">
        <v>25</v>
      </c>
      <c r="D53" s="12"/>
      <c r="E53" s="12"/>
      <c r="F53" s="56">
        <v>732</v>
      </c>
      <c r="G53" s="56">
        <v>719</v>
      </c>
      <c r="H53" s="56">
        <v>671</v>
      </c>
      <c r="I53" s="56">
        <v>684</v>
      </c>
      <c r="J53" s="56">
        <v>630</v>
      </c>
      <c r="K53" s="56">
        <v>551</v>
      </c>
      <c r="L53" s="56">
        <v>493</v>
      </c>
      <c r="M53" s="56">
        <v>596</v>
      </c>
      <c r="N53" s="56">
        <v>533</v>
      </c>
      <c r="O53" s="56">
        <v>481</v>
      </c>
      <c r="P53" s="56">
        <v>427</v>
      </c>
      <c r="Q53" s="56">
        <v>360</v>
      </c>
      <c r="R53" s="56">
        <v>298</v>
      </c>
      <c r="S53" s="56">
        <v>236</v>
      </c>
      <c r="T53" s="56">
        <v>147</v>
      </c>
      <c r="U53" s="56">
        <v>118</v>
      </c>
      <c r="V53" s="56">
        <v>45</v>
      </c>
      <c r="W53" s="56">
        <v>51</v>
      </c>
      <c r="X53" s="56">
        <v>42</v>
      </c>
      <c r="Y53" s="56">
        <v>33</v>
      </c>
      <c r="Z53" s="56">
        <v>26</v>
      </c>
      <c r="AA53" s="56">
        <v>0</v>
      </c>
      <c r="AB53" s="56">
        <v>21</v>
      </c>
    </row>
    <row r="54" spans="1:28" ht="13.5">
      <c r="A54" s="168"/>
      <c r="B54" s="12"/>
      <c r="C54" s="12" t="s">
        <v>26</v>
      </c>
      <c r="D54" s="12"/>
      <c r="E54" s="12"/>
      <c r="F54" s="56">
        <v>429133</v>
      </c>
      <c r="G54" s="56">
        <v>473958</v>
      </c>
      <c r="H54" s="56">
        <v>516386</v>
      </c>
      <c r="I54" s="56">
        <v>535305</v>
      </c>
      <c r="J54" s="56">
        <v>541462</v>
      </c>
      <c r="K54" s="56">
        <v>506160</v>
      </c>
      <c r="L54" s="56">
        <v>487127</v>
      </c>
      <c r="M54" s="56">
        <v>476377</v>
      </c>
      <c r="N54" s="56">
        <v>455212</v>
      </c>
      <c r="O54" s="56">
        <v>431781</v>
      </c>
      <c r="P54" s="56">
        <v>412056</v>
      </c>
      <c r="Q54" s="56">
        <v>404800</v>
      </c>
      <c r="R54" s="56">
        <v>398345</v>
      </c>
      <c r="S54" s="56">
        <v>403047</v>
      </c>
      <c r="T54" s="56">
        <v>395899</v>
      </c>
      <c r="U54" s="56">
        <v>392987</v>
      </c>
      <c r="V54" s="56">
        <v>387483</v>
      </c>
      <c r="W54" s="56">
        <v>381279</v>
      </c>
      <c r="X54" s="56">
        <v>384225</v>
      </c>
      <c r="Y54" s="56">
        <v>372531</v>
      </c>
      <c r="Z54" s="56">
        <v>350646</v>
      </c>
      <c r="AA54" s="56">
        <v>345595</v>
      </c>
      <c r="AB54" s="56">
        <v>339126</v>
      </c>
    </row>
    <row r="55" spans="1:28" ht="13.5">
      <c r="A55" s="168"/>
      <c r="B55" s="12"/>
      <c r="C55" s="12" t="s">
        <v>27</v>
      </c>
      <c r="D55" s="12"/>
      <c r="E55" s="12"/>
      <c r="F55" s="56">
        <v>12384</v>
      </c>
      <c r="G55" s="56">
        <v>13587</v>
      </c>
      <c r="H55" s="56">
        <v>16692</v>
      </c>
      <c r="I55" s="56">
        <v>17072</v>
      </c>
      <c r="J55" s="56">
        <v>17403</v>
      </c>
      <c r="K55" s="56">
        <v>17324</v>
      </c>
      <c r="L55" s="56">
        <v>18127</v>
      </c>
      <c r="M55" s="56">
        <v>21095</v>
      </c>
      <c r="N55" s="56">
        <v>22125</v>
      </c>
      <c r="O55" s="56">
        <v>22340</v>
      </c>
      <c r="P55" s="56">
        <v>21029</v>
      </c>
      <c r="Q55" s="56">
        <v>20058</v>
      </c>
      <c r="R55" s="56">
        <v>19023</v>
      </c>
      <c r="S55" s="56">
        <v>17474</v>
      </c>
      <c r="T55" s="56">
        <v>15612</v>
      </c>
      <c r="U55" s="56">
        <v>13854</v>
      </c>
      <c r="V55" s="56">
        <v>12623</v>
      </c>
      <c r="W55" s="56">
        <v>11332</v>
      </c>
      <c r="X55" s="56">
        <v>10849</v>
      </c>
      <c r="Y55" s="56">
        <v>10618</v>
      </c>
      <c r="Z55" s="56">
        <v>9221</v>
      </c>
      <c r="AA55" s="56">
        <v>7840</v>
      </c>
      <c r="AB55" s="56">
        <v>7033</v>
      </c>
    </row>
    <row r="56" spans="1:28" ht="13.5">
      <c r="A56" s="168"/>
      <c r="B56" s="12"/>
      <c r="C56" s="12" t="s">
        <v>28</v>
      </c>
      <c r="D56" s="12"/>
      <c r="E56" s="12"/>
      <c r="F56" s="56">
        <v>108915</v>
      </c>
      <c r="G56" s="56">
        <v>114513</v>
      </c>
      <c r="H56" s="56">
        <v>117480</v>
      </c>
      <c r="I56" s="56">
        <v>121142</v>
      </c>
      <c r="J56" s="56">
        <v>124085</v>
      </c>
      <c r="K56" s="56">
        <v>151854</v>
      </c>
      <c r="L56" s="56">
        <v>154075</v>
      </c>
      <c r="M56" s="56">
        <v>158876</v>
      </c>
      <c r="N56" s="56">
        <v>163294</v>
      </c>
      <c r="O56" s="56">
        <v>168359</v>
      </c>
      <c r="P56" s="56">
        <v>172879</v>
      </c>
      <c r="Q56" s="56">
        <v>180712</v>
      </c>
      <c r="R56" s="56">
        <v>189962</v>
      </c>
      <c r="S56" s="56">
        <v>194696</v>
      </c>
      <c r="T56" s="56">
        <v>193184</v>
      </c>
      <c r="U56" s="56">
        <v>188187</v>
      </c>
      <c r="V56" s="56">
        <v>179881</v>
      </c>
      <c r="W56" s="56">
        <v>173193</v>
      </c>
      <c r="X56" s="56">
        <v>172162</v>
      </c>
      <c r="Y56" s="56">
        <v>170920</v>
      </c>
      <c r="Z56" s="56">
        <v>166644</v>
      </c>
      <c r="AA56" s="56">
        <v>161631</v>
      </c>
      <c r="AB56" s="56">
        <v>156650</v>
      </c>
    </row>
    <row r="57" spans="1:28" ht="13.5">
      <c r="A57" s="168"/>
      <c r="B57" s="12"/>
      <c r="C57" s="12" t="s">
        <v>29</v>
      </c>
      <c r="D57" s="12"/>
      <c r="E57" s="12"/>
      <c r="F57" s="56">
        <v>75892</v>
      </c>
      <c r="G57" s="56">
        <v>83696</v>
      </c>
      <c r="H57" s="56">
        <v>87253</v>
      </c>
      <c r="I57" s="56">
        <v>89242</v>
      </c>
      <c r="J57" s="56">
        <v>92065</v>
      </c>
      <c r="K57" s="56">
        <v>92391</v>
      </c>
      <c r="L57" s="56">
        <v>94105</v>
      </c>
      <c r="M57" s="56">
        <v>98854</v>
      </c>
      <c r="N57" s="56">
        <v>98533</v>
      </c>
      <c r="O57" s="56">
        <v>97405</v>
      </c>
      <c r="P57" s="56">
        <v>93862</v>
      </c>
      <c r="Q57" s="56">
        <v>94801</v>
      </c>
      <c r="R57" s="56">
        <v>96328</v>
      </c>
      <c r="S57" s="56">
        <v>97232</v>
      </c>
      <c r="T57" s="56">
        <v>95918</v>
      </c>
      <c r="U57" s="56">
        <v>95061</v>
      </c>
      <c r="V57" s="56">
        <v>89257</v>
      </c>
      <c r="W57" s="56">
        <v>84419</v>
      </c>
      <c r="X57" s="56">
        <v>85658</v>
      </c>
      <c r="Y57" s="56">
        <v>83906</v>
      </c>
      <c r="Z57" s="56">
        <v>80661</v>
      </c>
      <c r="AA57" s="56">
        <v>79197</v>
      </c>
      <c r="AB57" s="56">
        <v>79000</v>
      </c>
    </row>
    <row r="58" spans="1:28" ht="13.5">
      <c r="A58" s="168"/>
      <c r="B58" s="12"/>
      <c r="C58" s="12" t="s">
        <v>30</v>
      </c>
      <c r="D58" s="12"/>
      <c r="E58" s="12"/>
      <c r="F58" s="56">
        <v>99630</v>
      </c>
      <c r="G58" s="56">
        <v>100924</v>
      </c>
      <c r="H58" s="56">
        <v>98132</v>
      </c>
      <c r="I58" s="56">
        <v>98401</v>
      </c>
      <c r="J58" s="56">
        <v>94336</v>
      </c>
      <c r="K58" s="56">
        <v>94809</v>
      </c>
      <c r="L58" s="56">
        <v>98192</v>
      </c>
      <c r="M58" s="56">
        <v>109174</v>
      </c>
      <c r="N58" s="56">
        <v>115571</v>
      </c>
      <c r="O58" s="56">
        <v>119112</v>
      </c>
      <c r="P58" s="56">
        <v>121934</v>
      </c>
      <c r="Q58" s="56">
        <v>125723</v>
      </c>
      <c r="R58" s="56">
        <v>127754</v>
      </c>
      <c r="S58" s="56">
        <v>126129</v>
      </c>
      <c r="T58" s="56">
        <v>123849</v>
      </c>
      <c r="U58" s="56">
        <v>119569</v>
      </c>
      <c r="V58" s="56">
        <v>116060</v>
      </c>
      <c r="W58" s="56">
        <v>113592</v>
      </c>
      <c r="X58" s="56">
        <v>113736</v>
      </c>
      <c r="Y58" s="56">
        <v>114861</v>
      </c>
      <c r="Z58" s="56">
        <v>109950</v>
      </c>
      <c r="AA58" s="56">
        <v>106924</v>
      </c>
      <c r="AB58" s="56">
        <v>100516</v>
      </c>
    </row>
    <row r="59" spans="1:28" ht="13.5">
      <c r="A59" s="168"/>
      <c r="B59" s="13"/>
      <c r="C59" s="13" t="s">
        <v>31</v>
      </c>
      <c r="D59" s="13"/>
      <c r="E59" s="13"/>
      <c r="F59" s="56">
        <v>6961</v>
      </c>
      <c r="G59" s="56">
        <v>7110</v>
      </c>
      <c r="H59" s="56">
        <v>7261</v>
      </c>
      <c r="I59" s="56">
        <v>7113</v>
      </c>
      <c r="J59" s="56">
        <v>7322</v>
      </c>
      <c r="K59" s="56">
        <v>7244</v>
      </c>
      <c r="L59" s="56">
        <v>6878</v>
      </c>
      <c r="M59" s="56">
        <v>7200</v>
      </c>
      <c r="N59" s="56">
        <v>7316</v>
      </c>
      <c r="O59" s="56">
        <v>7469</v>
      </c>
      <c r="P59" s="56">
        <v>7695</v>
      </c>
      <c r="Q59" s="56">
        <v>7945</v>
      </c>
      <c r="R59" s="56">
        <v>8013</v>
      </c>
      <c r="S59" s="56">
        <v>8119</v>
      </c>
      <c r="T59" s="56">
        <v>8358</v>
      </c>
      <c r="U59" s="56">
        <v>8562</v>
      </c>
      <c r="V59" s="56">
        <v>8883</v>
      </c>
      <c r="W59" s="56">
        <v>9035</v>
      </c>
      <c r="X59" s="56">
        <v>9459</v>
      </c>
      <c r="Y59" s="56">
        <v>9946</v>
      </c>
      <c r="Z59" s="56">
        <v>13397</v>
      </c>
      <c r="AA59" s="56">
        <v>14199</v>
      </c>
      <c r="AB59" s="56">
        <v>13534</v>
      </c>
    </row>
    <row r="60" spans="1:28" ht="13.5">
      <c r="A60" s="168"/>
      <c r="B60" s="16" t="s">
        <v>130</v>
      </c>
      <c r="C60" s="16"/>
      <c r="D60" s="16"/>
      <c r="E60" s="16"/>
      <c r="F60" s="60">
        <v>1863329</v>
      </c>
      <c r="G60" s="60">
        <v>1818423</v>
      </c>
      <c r="H60" s="60">
        <v>1808022</v>
      </c>
      <c r="I60" s="60">
        <v>1791441</v>
      </c>
      <c r="J60" s="60">
        <v>1799403</v>
      </c>
      <c r="K60" s="60">
        <v>1839902</v>
      </c>
      <c r="L60" s="60">
        <v>1861568</v>
      </c>
      <c r="M60" s="60">
        <v>1821128</v>
      </c>
      <c r="N60" s="60">
        <v>1753972</v>
      </c>
      <c r="O60" s="60">
        <v>1697674</v>
      </c>
      <c r="P60" s="60">
        <v>1660759</v>
      </c>
      <c r="Q60" s="60">
        <v>1629391</v>
      </c>
      <c r="R60" s="60">
        <v>1594662</v>
      </c>
      <c r="S60" s="60">
        <v>1566070</v>
      </c>
      <c r="T60" s="60">
        <v>1557273</v>
      </c>
      <c r="U60" s="60">
        <v>1551261</v>
      </c>
      <c r="V60" s="60">
        <v>1556202</v>
      </c>
      <c r="W60" s="60">
        <v>1553362</v>
      </c>
      <c r="X60" s="60">
        <v>1495356</v>
      </c>
      <c r="Y60" s="60">
        <v>1467845</v>
      </c>
      <c r="Z60" s="60">
        <v>1424723</v>
      </c>
      <c r="AA60" s="60">
        <v>1418414</v>
      </c>
      <c r="AB60" s="60">
        <v>1424601</v>
      </c>
    </row>
    <row r="61" spans="1:28" ht="13.5">
      <c r="A61" s="168"/>
      <c r="B61" s="12"/>
      <c r="C61" s="12" t="s">
        <v>21</v>
      </c>
      <c r="D61" s="12"/>
      <c r="E61" s="12"/>
      <c r="F61" s="56">
        <v>1753196</v>
      </c>
      <c r="G61" s="56">
        <v>1701260</v>
      </c>
      <c r="H61" s="56">
        <v>1690031</v>
      </c>
      <c r="I61" s="56">
        <v>1674343</v>
      </c>
      <c r="J61" s="56">
        <v>1684004</v>
      </c>
      <c r="K61" s="56">
        <v>1725479</v>
      </c>
      <c r="L61" s="56">
        <v>1740961</v>
      </c>
      <c r="M61" s="56">
        <v>1695182</v>
      </c>
      <c r="N61" s="56">
        <v>1626406</v>
      </c>
      <c r="O61" s="56">
        <v>1569657</v>
      </c>
      <c r="P61" s="56">
        <v>1529514</v>
      </c>
      <c r="Q61" s="56">
        <v>1493092</v>
      </c>
      <c r="R61" s="56">
        <v>1455811</v>
      </c>
      <c r="S61" s="56">
        <v>1428440</v>
      </c>
      <c r="T61" s="56">
        <v>1420463</v>
      </c>
      <c r="U61" s="56">
        <v>1417219</v>
      </c>
      <c r="V61" s="56">
        <v>1423232</v>
      </c>
      <c r="W61" s="56">
        <v>1419163</v>
      </c>
      <c r="X61" s="56">
        <v>1362709</v>
      </c>
      <c r="Y61" s="56">
        <v>1336768</v>
      </c>
      <c r="Z61" s="56">
        <v>1299773</v>
      </c>
      <c r="AA61" s="56">
        <v>1297295</v>
      </c>
      <c r="AB61" s="56">
        <v>1302252</v>
      </c>
    </row>
    <row r="62" spans="1:28" ht="13.5">
      <c r="A62" s="168"/>
      <c r="B62" s="12"/>
      <c r="C62" s="12"/>
      <c r="D62" s="12" t="s">
        <v>22</v>
      </c>
      <c r="E62" s="12"/>
      <c r="F62" s="56">
        <v>1733183</v>
      </c>
      <c r="G62" s="56">
        <v>1685711</v>
      </c>
      <c r="H62" s="56">
        <v>1672824</v>
      </c>
      <c r="I62" s="56">
        <v>1658070</v>
      </c>
      <c r="J62" s="56">
        <v>1670586</v>
      </c>
      <c r="K62" s="56">
        <v>1713437</v>
      </c>
      <c r="L62" s="56">
        <v>1731096</v>
      </c>
      <c r="M62" s="56">
        <v>1686366</v>
      </c>
      <c r="N62" s="56">
        <v>1618486</v>
      </c>
      <c r="O62" s="56">
        <v>1563918</v>
      </c>
      <c r="P62" s="56">
        <v>1524076</v>
      </c>
      <c r="Q62" s="56">
        <v>1487737</v>
      </c>
      <c r="R62" s="56">
        <v>1450641</v>
      </c>
      <c r="S62" s="56">
        <v>1423405</v>
      </c>
      <c r="T62" s="56">
        <v>1415389</v>
      </c>
      <c r="U62" s="56">
        <v>1411742</v>
      </c>
      <c r="V62" s="56">
        <v>1417883</v>
      </c>
      <c r="W62" s="56">
        <v>1413759</v>
      </c>
      <c r="X62" s="56">
        <v>1356629</v>
      </c>
      <c r="Y62" s="56">
        <v>1330850</v>
      </c>
      <c r="Z62" s="56">
        <v>1293889</v>
      </c>
      <c r="AA62" s="56">
        <v>1291254</v>
      </c>
      <c r="AB62" s="56">
        <v>1295760</v>
      </c>
    </row>
    <row r="63" spans="1:28" ht="13.5">
      <c r="A63" s="168"/>
      <c r="B63" s="12"/>
      <c r="C63" s="12"/>
      <c r="D63" s="12" t="s">
        <v>23</v>
      </c>
      <c r="E63" s="12"/>
      <c r="F63" s="56">
        <v>20013</v>
      </c>
      <c r="G63" s="56">
        <v>15549</v>
      </c>
      <c r="H63" s="56">
        <v>17207</v>
      </c>
      <c r="I63" s="56">
        <v>16273</v>
      </c>
      <c r="J63" s="56">
        <v>13418</v>
      </c>
      <c r="K63" s="56">
        <v>12042</v>
      </c>
      <c r="L63" s="56">
        <v>9865</v>
      </c>
      <c r="M63" s="56">
        <v>8816</v>
      </c>
      <c r="N63" s="56">
        <v>7920</v>
      </c>
      <c r="O63" s="56">
        <v>5739</v>
      </c>
      <c r="P63" s="56">
        <v>5438</v>
      </c>
      <c r="Q63" s="56">
        <v>5355</v>
      </c>
      <c r="R63" s="56">
        <v>5170</v>
      </c>
      <c r="S63" s="56">
        <v>5035</v>
      </c>
      <c r="T63" s="56">
        <v>5074</v>
      </c>
      <c r="U63" s="56">
        <v>5477</v>
      </c>
      <c r="V63" s="56">
        <v>5349</v>
      </c>
      <c r="W63" s="56">
        <v>5404</v>
      </c>
      <c r="X63" s="56">
        <v>6080</v>
      </c>
      <c r="Y63" s="56">
        <v>5918</v>
      </c>
      <c r="Z63" s="56">
        <v>5884</v>
      </c>
      <c r="AA63" s="56">
        <v>6041</v>
      </c>
      <c r="AB63" s="56">
        <v>6492</v>
      </c>
    </row>
    <row r="64" spans="1:28" ht="13.5">
      <c r="A64" s="168"/>
      <c r="B64" s="12"/>
      <c r="C64" s="12" t="s">
        <v>25</v>
      </c>
      <c r="D64" s="12"/>
      <c r="E64" s="12"/>
      <c r="F64" s="56">
        <v>0</v>
      </c>
      <c r="G64" s="56">
        <v>0</v>
      </c>
      <c r="H64" s="56">
        <v>0</v>
      </c>
      <c r="I64" s="56">
        <v>0</v>
      </c>
      <c r="J64" s="56">
        <v>0</v>
      </c>
      <c r="K64" s="56">
        <v>0</v>
      </c>
      <c r="L64" s="56">
        <v>0</v>
      </c>
      <c r="M64" s="56">
        <v>0</v>
      </c>
      <c r="N64" s="56">
        <v>0</v>
      </c>
      <c r="O64" s="56">
        <v>0</v>
      </c>
      <c r="P64" s="56">
        <v>0</v>
      </c>
      <c r="Q64" s="56">
        <v>0</v>
      </c>
      <c r="R64" s="56">
        <v>0</v>
      </c>
      <c r="S64" s="56">
        <v>0</v>
      </c>
      <c r="T64" s="56">
        <v>0</v>
      </c>
      <c r="U64" s="56">
        <v>0</v>
      </c>
      <c r="V64" s="56">
        <v>0</v>
      </c>
      <c r="W64" s="56">
        <v>0</v>
      </c>
      <c r="X64" s="56">
        <v>0</v>
      </c>
      <c r="Y64" s="56">
        <v>0</v>
      </c>
      <c r="Z64" s="56">
        <v>0</v>
      </c>
      <c r="AA64" s="56">
        <v>0</v>
      </c>
      <c r="AB64" s="56">
        <v>0</v>
      </c>
    </row>
    <row r="65" spans="1:28" ht="13.5">
      <c r="A65" s="168"/>
      <c r="B65" s="12"/>
      <c r="C65" s="12" t="s">
        <v>26</v>
      </c>
      <c r="D65" s="12"/>
      <c r="E65" s="12"/>
      <c r="F65" s="56">
        <v>23117</v>
      </c>
      <c r="G65" s="56">
        <v>24242</v>
      </c>
      <c r="H65" s="56">
        <v>25332</v>
      </c>
      <c r="I65" s="56">
        <v>25215</v>
      </c>
      <c r="J65" s="56">
        <v>24757</v>
      </c>
      <c r="K65" s="56">
        <v>24112</v>
      </c>
      <c r="L65" s="56">
        <v>23728</v>
      </c>
      <c r="M65" s="56">
        <v>23116</v>
      </c>
      <c r="N65" s="56">
        <v>23184</v>
      </c>
      <c r="O65" s="56">
        <v>23408</v>
      </c>
      <c r="P65" s="56">
        <v>24869</v>
      </c>
      <c r="Q65" s="56">
        <v>26400</v>
      </c>
      <c r="R65" s="56">
        <v>27501</v>
      </c>
      <c r="S65" s="56">
        <v>28099</v>
      </c>
      <c r="T65" s="56">
        <v>27841</v>
      </c>
      <c r="U65" s="56">
        <v>27837</v>
      </c>
      <c r="V65" s="56">
        <v>28366</v>
      </c>
      <c r="W65" s="56">
        <v>30376</v>
      </c>
      <c r="X65" s="56">
        <v>31472</v>
      </c>
      <c r="Y65" s="56">
        <v>30736</v>
      </c>
      <c r="Z65" s="56">
        <v>29246</v>
      </c>
      <c r="AA65" s="56">
        <v>30717</v>
      </c>
      <c r="AB65" s="56">
        <v>33486</v>
      </c>
    </row>
    <row r="66" spans="1:28" ht="13.5">
      <c r="A66" s="168"/>
      <c r="B66" s="12"/>
      <c r="C66" s="12" t="s">
        <v>27</v>
      </c>
      <c r="D66" s="12"/>
      <c r="E66" s="12"/>
      <c r="F66" s="56">
        <v>87</v>
      </c>
      <c r="G66" s="56">
        <v>87</v>
      </c>
      <c r="H66" s="56">
        <v>830</v>
      </c>
      <c r="I66" s="56">
        <v>1943</v>
      </c>
      <c r="J66" s="56">
        <v>1969</v>
      </c>
      <c r="K66" s="56">
        <v>1928</v>
      </c>
      <c r="L66" s="56">
        <v>2258</v>
      </c>
      <c r="M66" s="56">
        <v>2567</v>
      </c>
      <c r="N66" s="56">
        <v>2541</v>
      </c>
      <c r="O66" s="56">
        <v>2428</v>
      </c>
      <c r="P66" s="56">
        <v>2167</v>
      </c>
      <c r="Q66" s="56">
        <v>1975</v>
      </c>
      <c r="R66" s="56">
        <v>1727</v>
      </c>
      <c r="S66" s="56">
        <v>1701</v>
      </c>
      <c r="T66" s="56">
        <v>1361</v>
      </c>
      <c r="U66" s="56">
        <v>1270</v>
      </c>
      <c r="V66" s="56">
        <v>1191</v>
      </c>
      <c r="W66" s="56">
        <v>850</v>
      </c>
      <c r="X66" s="56">
        <v>513</v>
      </c>
      <c r="Y66" s="56">
        <v>516</v>
      </c>
      <c r="Z66" s="56">
        <v>463</v>
      </c>
      <c r="AA66" s="56">
        <v>403</v>
      </c>
      <c r="AB66" s="56">
        <v>342</v>
      </c>
    </row>
    <row r="67" spans="1:28" ht="13.5">
      <c r="A67" s="168"/>
      <c r="B67" s="12"/>
      <c r="C67" s="12" t="s">
        <v>29</v>
      </c>
      <c r="D67" s="12"/>
      <c r="E67" s="12"/>
      <c r="F67" s="56">
        <v>30295</v>
      </c>
      <c r="G67" s="56">
        <v>33310</v>
      </c>
      <c r="H67" s="56">
        <v>34444</v>
      </c>
      <c r="I67" s="56">
        <v>36337</v>
      </c>
      <c r="J67" s="56">
        <v>38221</v>
      </c>
      <c r="K67" s="56">
        <v>37435</v>
      </c>
      <c r="L67" s="56">
        <v>40224</v>
      </c>
      <c r="M67" s="56">
        <v>41437</v>
      </c>
      <c r="N67" s="56">
        <v>41333</v>
      </c>
      <c r="O67" s="56">
        <v>40073</v>
      </c>
      <c r="P67" s="56">
        <v>40312</v>
      </c>
      <c r="Q67" s="56">
        <v>41969</v>
      </c>
      <c r="R67" s="56">
        <v>43228</v>
      </c>
      <c r="S67" s="56">
        <v>42218</v>
      </c>
      <c r="T67" s="56">
        <v>43112</v>
      </c>
      <c r="U67" s="56">
        <v>41083</v>
      </c>
      <c r="V67" s="56">
        <v>39168</v>
      </c>
      <c r="W67" s="56">
        <v>37952</v>
      </c>
      <c r="X67" s="56">
        <v>36719</v>
      </c>
      <c r="Y67" s="56">
        <v>37927</v>
      </c>
      <c r="Z67" s="56">
        <v>37962</v>
      </c>
      <c r="AA67" s="56">
        <v>36775</v>
      </c>
      <c r="AB67" s="56">
        <v>35702</v>
      </c>
    </row>
    <row r="68" spans="1:28" ht="13.5">
      <c r="A68" s="168"/>
      <c r="B68" s="12"/>
      <c r="C68" s="12" t="s">
        <v>30</v>
      </c>
      <c r="D68" s="12"/>
      <c r="E68" s="12"/>
      <c r="F68" s="56">
        <v>56357</v>
      </c>
      <c r="G68" s="56">
        <v>59211</v>
      </c>
      <c r="H68" s="56">
        <v>57098</v>
      </c>
      <c r="I68" s="56">
        <v>53285</v>
      </c>
      <c r="J68" s="56">
        <v>50171</v>
      </c>
      <c r="K68" s="56">
        <v>50664</v>
      </c>
      <c r="L68" s="56">
        <v>54076</v>
      </c>
      <c r="M68" s="56">
        <v>58380</v>
      </c>
      <c r="N68" s="56">
        <v>60014</v>
      </c>
      <c r="O68" s="56">
        <v>61500</v>
      </c>
      <c r="P68" s="56">
        <v>63268</v>
      </c>
      <c r="Q68" s="56">
        <v>65242</v>
      </c>
      <c r="R68" s="56">
        <v>65662</v>
      </c>
      <c r="S68" s="56">
        <v>64880</v>
      </c>
      <c r="T68" s="56">
        <v>63833</v>
      </c>
      <c r="U68" s="56">
        <v>63177</v>
      </c>
      <c r="V68" s="56">
        <v>63646</v>
      </c>
      <c r="W68" s="56">
        <v>64342</v>
      </c>
      <c r="X68" s="56">
        <v>63298</v>
      </c>
      <c r="Y68" s="56">
        <v>61303</v>
      </c>
      <c r="Z68" s="56">
        <v>56752</v>
      </c>
      <c r="AA68" s="56">
        <v>52720</v>
      </c>
      <c r="AB68" s="56">
        <v>52337</v>
      </c>
    </row>
    <row r="69" spans="1:28" ht="13.5">
      <c r="A69" s="168"/>
      <c r="B69" s="13"/>
      <c r="C69" s="13" t="s">
        <v>31</v>
      </c>
      <c r="D69" s="13"/>
      <c r="E69" s="13"/>
      <c r="F69" s="63">
        <v>277</v>
      </c>
      <c r="G69" s="63">
        <v>313</v>
      </c>
      <c r="H69" s="63">
        <v>287</v>
      </c>
      <c r="I69" s="63">
        <v>318</v>
      </c>
      <c r="J69" s="63">
        <v>281</v>
      </c>
      <c r="K69" s="63">
        <v>284</v>
      </c>
      <c r="L69" s="63">
        <v>321</v>
      </c>
      <c r="M69" s="63">
        <v>446</v>
      </c>
      <c r="N69" s="63">
        <v>494</v>
      </c>
      <c r="O69" s="63">
        <v>608</v>
      </c>
      <c r="P69" s="63">
        <v>629</v>
      </c>
      <c r="Q69" s="63">
        <v>713</v>
      </c>
      <c r="R69" s="63">
        <v>733</v>
      </c>
      <c r="S69" s="63">
        <v>732</v>
      </c>
      <c r="T69" s="63">
        <v>663</v>
      </c>
      <c r="U69" s="63">
        <v>675</v>
      </c>
      <c r="V69" s="63">
        <v>599</v>
      </c>
      <c r="W69" s="63">
        <v>679</v>
      </c>
      <c r="X69" s="63">
        <v>645</v>
      </c>
      <c r="Y69" s="63">
        <v>595</v>
      </c>
      <c r="Z69" s="63">
        <v>527</v>
      </c>
      <c r="AA69" s="63">
        <v>504</v>
      </c>
      <c r="AB69" s="63">
        <v>482</v>
      </c>
    </row>
    <row r="70" spans="1:28">
      <c r="A70" s="168"/>
      <c r="B70" s="171" t="s">
        <v>33</v>
      </c>
      <c r="C70" s="171"/>
      <c r="D70" s="171"/>
      <c r="E70" s="110" t="s">
        <v>32</v>
      </c>
      <c r="F70" s="110"/>
      <c r="G70" s="110"/>
      <c r="H70" s="110"/>
      <c r="I70" s="110"/>
      <c r="J70" s="110"/>
      <c r="K70" s="110"/>
      <c r="L70" s="110"/>
      <c r="M70" s="110"/>
      <c r="N70" s="110"/>
      <c r="O70" s="110"/>
      <c r="P70" s="110"/>
      <c r="Q70" s="110"/>
      <c r="R70" s="110"/>
      <c r="S70" s="110"/>
      <c r="T70" s="110"/>
      <c r="U70" s="140"/>
      <c r="V70" s="140"/>
      <c r="W70" s="140"/>
      <c r="X70" s="140"/>
      <c r="Y70" s="140"/>
      <c r="Z70" s="140"/>
      <c r="AA70" s="140"/>
    </row>
    <row r="71" spans="1:28" ht="25.5" customHeight="1">
      <c r="A71" s="153"/>
      <c r="B71" s="140"/>
      <c r="C71" s="140"/>
      <c r="D71" s="140"/>
      <c r="E71" s="167" t="s">
        <v>200</v>
      </c>
      <c r="F71" s="167"/>
      <c r="G71" s="167"/>
      <c r="H71" s="167"/>
      <c r="I71" s="167"/>
      <c r="J71" s="167"/>
      <c r="K71" s="167"/>
      <c r="L71" s="167"/>
      <c r="M71" s="167"/>
      <c r="N71" s="167"/>
      <c r="O71" s="167"/>
      <c r="P71" s="167"/>
      <c r="Q71" s="167"/>
      <c r="R71" s="167"/>
      <c r="S71" s="167"/>
      <c r="T71" s="167"/>
      <c r="U71" s="167"/>
      <c r="V71" s="167"/>
      <c r="W71" s="167"/>
      <c r="X71" s="167"/>
      <c r="Y71" s="167"/>
      <c r="Z71" s="167"/>
      <c r="AA71" s="167"/>
      <c r="AB71" s="167"/>
    </row>
    <row r="72" spans="1:28">
      <c r="E72" s="110" t="s">
        <v>189</v>
      </c>
      <c r="F72" s="110"/>
      <c r="G72" s="110"/>
      <c r="H72" s="110"/>
      <c r="I72" s="110"/>
      <c r="J72" s="110"/>
    </row>
    <row r="73" spans="1:28">
      <c r="E73" s="15" t="s">
        <v>175</v>
      </c>
      <c r="F73" s="110"/>
      <c r="G73" s="110"/>
      <c r="H73" s="110"/>
      <c r="I73" s="110"/>
      <c r="J73" s="110"/>
    </row>
  </sheetData>
  <mergeCells count="6">
    <mergeCell ref="E71:AB71"/>
    <mergeCell ref="A1:A36"/>
    <mergeCell ref="A37:A70"/>
    <mergeCell ref="B1:E1"/>
    <mergeCell ref="B5:E5"/>
    <mergeCell ref="B70:D70"/>
  </mergeCells>
  <hyperlinks>
    <hyperlink ref="E71:AB71" location="Leer!Druckbereich" display="Ab 2024 gelten für die Schularten des Sek-I-Bereichs neue Bezeichnungen bzw. Zusätze. Zudem kommt es bei den Hauptschulen, Schularten mit zwei Bildungsgängen und Schularten mit drei Bildungsgängen zu Neuzuordnungen." xr:uid="{63791833-2F30-4C88-8845-368FF8EFE0B9}"/>
  </hyperlinks>
  <printOptions verticalCentered="1"/>
  <pageMargins left="0.23622047244094491" right="0.23622047244094491" top="0.74803149606299213" bottom="0.74803149606299213" header="0.31496062992125984" footer="0.31496062992125984"/>
  <pageSetup paperSize="9" scale="94" orientation="landscape" r:id="rId1"/>
  <rowBreaks count="1" manualBreakCount="1">
    <brk id="36"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8"/>
  <dimension ref="A1:AB72"/>
  <sheetViews>
    <sheetView view="pageBreakPreview" zoomScale="140" zoomScaleNormal="130" zoomScaleSheetLayoutView="140" workbookViewId="0">
      <selection activeCell="J27" sqref="J27"/>
    </sheetView>
  </sheetViews>
  <sheetFormatPr baseColWidth="10" defaultColWidth="11.42578125" defaultRowHeight="12.75"/>
  <cols>
    <col min="1" max="1" width="2.7109375" style="115" customWidth="1"/>
    <col min="2" max="2" width="3.7109375" style="115" customWidth="1"/>
    <col min="3" max="4" width="2.7109375" style="115" customWidth="1"/>
    <col min="5" max="5" width="17.7109375" style="115" customWidth="1"/>
    <col min="6" max="22" width="6.7109375" style="115" customWidth="1"/>
    <col min="23" max="16384" width="11.42578125" style="115"/>
  </cols>
  <sheetData>
    <row r="1" spans="1:25" ht="12.75" customHeight="1">
      <c r="A1" s="172">
        <v>55</v>
      </c>
      <c r="B1" s="173" t="s">
        <v>0</v>
      </c>
      <c r="C1" s="173"/>
      <c r="D1" s="173"/>
      <c r="E1" s="173"/>
    </row>
    <row r="2" spans="1:25">
      <c r="A2" s="172"/>
      <c r="B2" s="116" t="s">
        <v>1</v>
      </c>
      <c r="C2" s="116"/>
      <c r="D2" s="116" t="s">
        <v>172</v>
      </c>
      <c r="E2" s="116"/>
    </row>
    <row r="3" spans="1:25">
      <c r="A3" s="172"/>
      <c r="B3" s="117" t="s">
        <v>117</v>
      </c>
      <c r="C3" s="116"/>
      <c r="D3" s="116" t="s">
        <v>186</v>
      </c>
      <c r="E3" s="116"/>
    </row>
    <row r="4" spans="1:25" ht="21" customHeight="1">
      <c r="A4" s="172"/>
    </row>
    <row r="5" spans="1:25" s="119" customFormat="1" ht="18.75" customHeight="1">
      <c r="A5" s="172"/>
      <c r="B5" s="174" t="s">
        <v>131</v>
      </c>
      <c r="C5" s="174"/>
      <c r="D5" s="174"/>
      <c r="E5" s="174"/>
      <c r="F5" s="118" t="s">
        <v>34</v>
      </c>
      <c r="G5" s="118" t="s">
        <v>35</v>
      </c>
      <c r="H5" s="118" t="s">
        <v>36</v>
      </c>
      <c r="I5" s="118" t="s">
        <v>37</v>
      </c>
      <c r="J5" s="118" t="s">
        <v>38</v>
      </c>
      <c r="K5" s="118" t="s">
        <v>39</v>
      </c>
      <c r="L5" s="118" t="s">
        <v>40</v>
      </c>
      <c r="M5" s="118" t="s">
        <v>41</v>
      </c>
      <c r="N5" s="118" t="s">
        <v>42</v>
      </c>
      <c r="O5" s="118" t="s">
        <v>43</v>
      </c>
      <c r="P5" s="118" t="s">
        <v>44</v>
      </c>
      <c r="Q5" s="118" t="s">
        <v>45</v>
      </c>
      <c r="R5" s="118" t="s">
        <v>46</v>
      </c>
      <c r="S5" s="118" t="s">
        <v>47</v>
      </c>
      <c r="T5" s="118" t="s">
        <v>48</v>
      </c>
      <c r="U5" s="118" t="s">
        <v>49</v>
      </c>
      <c r="V5" s="118" t="s">
        <v>50</v>
      </c>
    </row>
    <row r="6" spans="1:25">
      <c r="A6" s="172"/>
      <c r="B6" s="120" t="s">
        <v>120</v>
      </c>
      <c r="C6" s="120"/>
      <c r="D6" s="120"/>
      <c r="E6" s="121"/>
      <c r="F6" s="122">
        <v>1533509</v>
      </c>
      <c r="G6" s="122">
        <v>1679868</v>
      </c>
      <c r="H6" s="122">
        <v>484213</v>
      </c>
      <c r="I6" s="122">
        <v>320966</v>
      </c>
      <c r="J6" s="122">
        <v>98363</v>
      </c>
      <c r="K6" s="122">
        <v>267076</v>
      </c>
      <c r="L6" s="122">
        <v>859949</v>
      </c>
      <c r="M6" s="122">
        <v>200611</v>
      </c>
      <c r="N6" s="122">
        <v>1115198</v>
      </c>
      <c r="O6" s="122">
        <v>2516996</v>
      </c>
      <c r="P6" s="122">
        <v>544660</v>
      </c>
      <c r="Q6" s="122">
        <v>124440</v>
      </c>
      <c r="R6" s="122">
        <v>526362</v>
      </c>
      <c r="S6" s="122">
        <v>257334</v>
      </c>
      <c r="T6" s="122">
        <v>387596</v>
      </c>
      <c r="U6" s="122">
        <v>258764</v>
      </c>
      <c r="V6" s="122">
        <v>11175905</v>
      </c>
      <c r="X6" s="139"/>
      <c r="Y6" s="139"/>
    </row>
    <row r="7" spans="1:25">
      <c r="A7" s="172"/>
      <c r="B7" s="123" t="s">
        <v>119</v>
      </c>
      <c r="C7" s="123"/>
      <c r="D7" s="123"/>
      <c r="E7" s="120"/>
      <c r="F7" s="124">
        <v>1162806</v>
      </c>
      <c r="G7" s="124">
        <v>1334597</v>
      </c>
      <c r="H7" s="124">
        <v>406359</v>
      </c>
      <c r="I7" s="124">
        <v>278004</v>
      </c>
      <c r="J7" s="124">
        <v>74694</v>
      </c>
      <c r="K7" s="124">
        <v>221095</v>
      </c>
      <c r="L7" s="124">
        <v>695766</v>
      </c>
      <c r="M7" s="124">
        <v>164322</v>
      </c>
      <c r="N7" s="124">
        <v>881745</v>
      </c>
      <c r="O7" s="124">
        <v>2013786</v>
      </c>
      <c r="P7" s="124">
        <v>436467</v>
      </c>
      <c r="Q7" s="124">
        <v>97104</v>
      </c>
      <c r="R7" s="124">
        <v>419248</v>
      </c>
      <c r="S7" s="124">
        <v>211905</v>
      </c>
      <c r="T7" s="124">
        <v>306406</v>
      </c>
      <c r="U7" s="124">
        <v>209857</v>
      </c>
      <c r="V7" s="124">
        <v>8914161</v>
      </c>
    </row>
    <row r="8" spans="1:25">
      <c r="A8" s="172"/>
      <c r="B8" s="125" t="s">
        <v>3</v>
      </c>
      <c r="C8" s="125"/>
      <c r="D8" s="125"/>
      <c r="E8" s="125"/>
      <c r="F8" s="122">
        <v>56122</v>
      </c>
      <c r="G8" s="122">
        <v>59803</v>
      </c>
      <c r="H8" s="122">
        <v>9027</v>
      </c>
      <c r="I8" s="122">
        <v>9737</v>
      </c>
      <c r="J8" s="122">
        <v>496</v>
      </c>
      <c r="K8" s="122">
        <v>4591</v>
      </c>
      <c r="L8" s="122">
        <v>20712</v>
      </c>
      <c r="M8" s="122">
        <v>7806</v>
      </c>
      <c r="N8" s="122">
        <v>25112</v>
      </c>
      <c r="O8" s="122">
        <v>89703</v>
      </c>
      <c r="P8" s="122">
        <v>17418</v>
      </c>
      <c r="Q8" s="122">
        <v>3902</v>
      </c>
      <c r="R8" s="122">
        <v>20125</v>
      </c>
      <c r="S8" s="122">
        <v>12573</v>
      </c>
      <c r="T8" s="122">
        <v>6492</v>
      </c>
      <c r="U8" s="122">
        <v>7001</v>
      </c>
      <c r="V8" s="122">
        <v>350620</v>
      </c>
    </row>
    <row r="9" spans="1:25">
      <c r="A9" s="172"/>
      <c r="B9" s="126"/>
      <c r="C9" s="126" t="s">
        <v>4</v>
      </c>
      <c r="D9" s="126"/>
      <c r="E9" s="126"/>
      <c r="F9" s="127">
        <v>18705</v>
      </c>
      <c r="G9" s="127">
        <v>26342</v>
      </c>
      <c r="H9" s="127">
        <v>424</v>
      </c>
      <c r="I9" s="127">
        <v>4389</v>
      </c>
      <c r="J9" s="127">
        <v>112</v>
      </c>
      <c r="K9" s="127">
        <v>924</v>
      </c>
      <c r="L9" s="127">
        <v>6770</v>
      </c>
      <c r="M9" s="127">
        <v>3471</v>
      </c>
      <c r="N9" s="127">
        <v>3136</v>
      </c>
      <c r="O9" s="127">
        <v>18882</v>
      </c>
      <c r="P9" s="127">
        <v>8572</v>
      </c>
      <c r="Q9" s="127">
        <v>1477</v>
      </c>
      <c r="R9" s="127">
        <v>11403</v>
      </c>
      <c r="S9" s="127">
        <v>5073</v>
      </c>
      <c r="T9" s="127">
        <v>1132</v>
      </c>
      <c r="U9" s="127">
        <v>2488</v>
      </c>
      <c r="V9" s="127">
        <v>113300</v>
      </c>
    </row>
    <row r="10" spans="1:25">
      <c r="A10" s="172"/>
      <c r="B10" s="126"/>
      <c r="C10" s="126" t="s">
        <v>5</v>
      </c>
      <c r="D10" s="126"/>
      <c r="E10" s="126"/>
      <c r="F10" s="127">
        <v>37417</v>
      </c>
      <c r="G10" s="127">
        <v>33461</v>
      </c>
      <c r="H10" s="127">
        <v>8603</v>
      </c>
      <c r="I10" s="127">
        <v>5348</v>
      </c>
      <c r="J10" s="127">
        <v>384</v>
      </c>
      <c r="K10" s="127">
        <v>3667</v>
      </c>
      <c r="L10" s="127">
        <v>13942</v>
      </c>
      <c r="M10" s="127">
        <v>4335</v>
      </c>
      <c r="N10" s="127">
        <v>21976</v>
      </c>
      <c r="O10" s="127">
        <v>70821</v>
      </c>
      <c r="P10" s="127">
        <v>8846</v>
      </c>
      <c r="Q10" s="127">
        <v>2425</v>
      </c>
      <c r="R10" s="127">
        <v>8722</v>
      </c>
      <c r="S10" s="127">
        <v>7500</v>
      </c>
      <c r="T10" s="127">
        <v>5360</v>
      </c>
      <c r="U10" s="127">
        <v>4513</v>
      </c>
      <c r="V10" s="127">
        <v>237320</v>
      </c>
    </row>
    <row r="11" spans="1:25" ht="0.75" customHeight="1">
      <c r="A11" s="172"/>
      <c r="B11" s="128"/>
      <c r="C11" s="128"/>
      <c r="D11" s="128"/>
      <c r="E11" s="128"/>
      <c r="F11" s="129"/>
      <c r="G11" s="129"/>
      <c r="H11" s="129"/>
      <c r="I11" s="129"/>
      <c r="J11" s="129"/>
      <c r="K11" s="129"/>
      <c r="L11" s="129"/>
      <c r="M11" s="129"/>
      <c r="N11" s="129"/>
      <c r="O11" s="129"/>
      <c r="P11" s="129"/>
      <c r="Q11" s="129"/>
      <c r="R11" s="129"/>
      <c r="S11" s="129"/>
      <c r="T11" s="129"/>
      <c r="U11" s="129"/>
      <c r="V11" s="129"/>
    </row>
    <row r="12" spans="1:25">
      <c r="A12" s="172"/>
      <c r="B12" s="125" t="s">
        <v>6</v>
      </c>
      <c r="C12" s="125"/>
      <c r="D12" s="125"/>
      <c r="E12" s="125"/>
      <c r="F12" s="122">
        <v>7755</v>
      </c>
      <c r="G12" s="122">
        <v>0</v>
      </c>
      <c r="H12" s="122">
        <v>0</v>
      </c>
      <c r="I12" s="122">
        <v>0</v>
      </c>
      <c r="J12" s="122">
        <v>17</v>
      </c>
      <c r="K12" s="122">
        <v>11169</v>
      </c>
      <c r="L12" s="122">
        <v>4698</v>
      </c>
      <c r="M12" s="122">
        <v>0</v>
      </c>
      <c r="N12" s="122">
        <v>2607</v>
      </c>
      <c r="O12" s="122">
        <v>2186</v>
      </c>
      <c r="P12" s="122">
        <v>99</v>
      </c>
      <c r="Q12" s="122">
        <v>48</v>
      </c>
      <c r="R12" s="122">
        <v>0</v>
      </c>
      <c r="S12" s="122">
        <v>0</v>
      </c>
      <c r="T12" s="122">
        <v>0</v>
      </c>
      <c r="U12" s="122">
        <v>0</v>
      </c>
      <c r="V12" s="122">
        <v>28579</v>
      </c>
    </row>
    <row r="13" spans="1:25">
      <c r="A13" s="172"/>
      <c r="B13" s="126"/>
      <c r="C13" s="126" t="s">
        <v>7</v>
      </c>
      <c r="D13" s="126"/>
      <c r="E13" s="126"/>
      <c r="F13" s="127">
        <v>0</v>
      </c>
      <c r="G13" s="127">
        <v>0</v>
      </c>
      <c r="H13" s="127">
        <v>0</v>
      </c>
      <c r="I13" s="127">
        <v>0</v>
      </c>
      <c r="J13" s="127">
        <v>17</v>
      </c>
      <c r="K13" s="127">
        <v>11169</v>
      </c>
      <c r="L13" s="127">
        <v>0</v>
      </c>
      <c r="M13" s="127">
        <v>0</v>
      </c>
      <c r="N13" s="127">
        <v>0</v>
      </c>
      <c r="O13" s="127">
        <v>0</v>
      </c>
      <c r="P13" s="127">
        <v>0</v>
      </c>
      <c r="Q13" s="127">
        <v>0</v>
      </c>
      <c r="R13" s="127">
        <v>0</v>
      </c>
      <c r="S13" s="127">
        <v>0</v>
      </c>
      <c r="T13" s="127">
        <v>0</v>
      </c>
      <c r="U13" s="127">
        <v>0</v>
      </c>
      <c r="V13" s="127">
        <v>11186</v>
      </c>
    </row>
    <row r="14" spans="1:25">
      <c r="A14" s="172"/>
      <c r="B14" s="128"/>
      <c r="C14" s="128" t="s">
        <v>8</v>
      </c>
      <c r="D14" s="128"/>
      <c r="E14" s="128"/>
      <c r="F14" s="129">
        <v>7755</v>
      </c>
      <c r="G14" s="129">
        <v>0</v>
      </c>
      <c r="H14" s="129">
        <v>0</v>
      </c>
      <c r="I14" s="129">
        <v>0</v>
      </c>
      <c r="J14" s="129">
        <v>0</v>
      </c>
      <c r="K14" s="129">
        <v>0</v>
      </c>
      <c r="L14" s="129">
        <v>4698</v>
      </c>
      <c r="M14" s="129">
        <v>0</v>
      </c>
      <c r="N14" s="129">
        <v>2607</v>
      </c>
      <c r="O14" s="129">
        <v>2186</v>
      </c>
      <c r="P14" s="129">
        <v>99</v>
      </c>
      <c r="Q14" s="129">
        <v>48</v>
      </c>
      <c r="R14" s="129">
        <v>0</v>
      </c>
      <c r="S14" s="129">
        <v>0</v>
      </c>
      <c r="T14" s="129">
        <v>0</v>
      </c>
      <c r="U14" s="129">
        <v>0</v>
      </c>
      <c r="V14" s="127">
        <v>17393</v>
      </c>
    </row>
    <row r="15" spans="1:25">
      <c r="A15" s="172"/>
      <c r="B15" s="125" t="s">
        <v>123</v>
      </c>
      <c r="C15" s="125"/>
      <c r="D15" s="125"/>
      <c r="E15" s="125"/>
      <c r="F15" s="122">
        <v>426764</v>
      </c>
      <c r="G15" s="122">
        <v>505043</v>
      </c>
      <c r="H15" s="122">
        <v>148399</v>
      </c>
      <c r="I15" s="122">
        <v>101229</v>
      </c>
      <c r="J15" s="122">
        <v>27949</v>
      </c>
      <c r="K15" s="122">
        <v>75740</v>
      </c>
      <c r="L15" s="122">
        <v>256309</v>
      </c>
      <c r="M15" s="122">
        <v>60159</v>
      </c>
      <c r="N15" s="122">
        <v>323265</v>
      </c>
      <c r="O15" s="122">
        <v>730556</v>
      </c>
      <c r="P15" s="122">
        <v>162466</v>
      </c>
      <c r="Q15" s="122">
        <v>36164</v>
      </c>
      <c r="R15" s="122">
        <v>155662</v>
      </c>
      <c r="S15" s="122">
        <v>79284</v>
      </c>
      <c r="T15" s="122">
        <v>116996</v>
      </c>
      <c r="U15" s="122">
        <v>78870</v>
      </c>
      <c r="V15" s="130">
        <v>3284855</v>
      </c>
    </row>
    <row r="16" spans="1:25">
      <c r="A16" s="172"/>
      <c r="B16" s="126"/>
      <c r="C16" s="126" t="s">
        <v>9</v>
      </c>
      <c r="D16" s="126"/>
      <c r="E16" s="126"/>
      <c r="F16" s="127">
        <v>364832</v>
      </c>
      <c r="G16" s="127">
        <v>501781</v>
      </c>
      <c r="H16" s="127">
        <v>134992</v>
      </c>
      <c r="I16" s="127">
        <v>99384</v>
      </c>
      <c r="J16" s="127">
        <v>27615</v>
      </c>
      <c r="K16" s="127">
        <v>69632</v>
      </c>
      <c r="L16" s="127">
        <v>254594</v>
      </c>
      <c r="M16" s="127">
        <v>59637</v>
      </c>
      <c r="N16" s="127">
        <v>319616</v>
      </c>
      <c r="O16" s="127">
        <v>723579</v>
      </c>
      <c r="P16" s="127">
        <v>161463</v>
      </c>
      <c r="Q16" s="127">
        <v>35755</v>
      </c>
      <c r="R16" s="127">
        <v>153960</v>
      </c>
      <c r="S16" s="127">
        <v>78798</v>
      </c>
      <c r="T16" s="127">
        <v>115387</v>
      </c>
      <c r="U16" s="127">
        <v>69352</v>
      </c>
      <c r="V16" s="127">
        <v>3170377</v>
      </c>
    </row>
    <row r="17" spans="1:24">
      <c r="A17" s="172"/>
      <c r="B17" s="126"/>
      <c r="C17" s="126" t="s">
        <v>187</v>
      </c>
      <c r="D17" s="126"/>
      <c r="E17" s="126"/>
      <c r="F17" s="127">
        <v>54241</v>
      </c>
      <c r="G17" s="127">
        <v>0</v>
      </c>
      <c r="H17" s="127">
        <v>11680</v>
      </c>
      <c r="I17" s="127">
        <v>1224</v>
      </c>
      <c r="J17" s="127">
        <v>0</v>
      </c>
      <c r="K17" s="127">
        <v>5031</v>
      </c>
      <c r="L17" s="127">
        <v>0</v>
      </c>
      <c r="M17" s="127">
        <v>0</v>
      </c>
      <c r="N17" s="127">
        <v>1208</v>
      </c>
      <c r="O17" s="127">
        <v>1200</v>
      </c>
      <c r="P17" s="127">
        <v>0</v>
      </c>
      <c r="Q17" s="127">
        <v>0</v>
      </c>
      <c r="R17" s="127">
        <v>469</v>
      </c>
      <c r="S17" s="127">
        <v>0</v>
      </c>
      <c r="T17" s="127">
        <v>0</v>
      </c>
      <c r="U17" s="127">
        <v>8968</v>
      </c>
      <c r="V17" s="127">
        <v>84021</v>
      </c>
    </row>
    <row r="18" spans="1:24">
      <c r="A18" s="172"/>
      <c r="B18" s="128"/>
      <c r="C18" s="128" t="s">
        <v>11</v>
      </c>
      <c r="D18" s="128"/>
      <c r="E18" s="128"/>
      <c r="F18" s="129">
        <v>7691</v>
      </c>
      <c r="G18" s="129">
        <v>3262</v>
      </c>
      <c r="H18" s="129">
        <v>1727</v>
      </c>
      <c r="I18" s="129">
        <v>621</v>
      </c>
      <c r="J18" s="129">
        <v>334</v>
      </c>
      <c r="K18" s="129">
        <v>1077</v>
      </c>
      <c r="L18" s="129">
        <v>1715</v>
      </c>
      <c r="M18" s="129">
        <v>522</v>
      </c>
      <c r="N18" s="129">
        <v>2441</v>
      </c>
      <c r="O18" s="129">
        <v>5777</v>
      </c>
      <c r="P18" s="129">
        <v>1003</v>
      </c>
      <c r="Q18" s="129">
        <v>409</v>
      </c>
      <c r="R18" s="129">
        <v>1233</v>
      </c>
      <c r="S18" s="129">
        <v>486</v>
      </c>
      <c r="T18" s="129">
        <v>1609</v>
      </c>
      <c r="U18" s="129">
        <v>550</v>
      </c>
      <c r="V18" s="129">
        <v>30457</v>
      </c>
    </row>
    <row r="19" spans="1:24">
      <c r="A19" s="172"/>
      <c r="B19" s="125" t="s">
        <v>124</v>
      </c>
      <c r="C19" s="125"/>
      <c r="D19" s="125"/>
      <c r="E19" s="125"/>
      <c r="F19" s="122">
        <v>571131</v>
      </c>
      <c r="G19" s="122">
        <v>696481</v>
      </c>
      <c r="H19" s="122">
        <v>193158</v>
      </c>
      <c r="I19" s="122">
        <v>134171</v>
      </c>
      <c r="J19" s="122">
        <v>37092</v>
      </c>
      <c r="K19" s="122">
        <v>96602</v>
      </c>
      <c r="L19" s="122">
        <v>346772</v>
      </c>
      <c r="M19" s="122">
        <v>79424</v>
      </c>
      <c r="N19" s="122">
        <v>441245</v>
      </c>
      <c r="O19" s="122">
        <v>1001760</v>
      </c>
      <c r="P19" s="122">
        <v>211501</v>
      </c>
      <c r="Q19" s="122">
        <v>45790</v>
      </c>
      <c r="R19" s="122">
        <v>205528</v>
      </c>
      <c r="S19" s="122">
        <v>101673</v>
      </c>
      <c r="T19" s="122">
        <v>155915</v>
      </c>
      <c r="U19" s="122">
        <v>105144</v>
      </c>
      <c r="V19" s="122">
        <v>4423387</v>
      </c>
      <c r="X19" s="139"/>
    </row>
    <row r="20" spans="1:24">
      <c r="A20" s="172"/>
      <c r="B20" s="126"/>
      <c r="C20" s="126" t="s">
        <v>12</v>
      </c>
      <c r="D20" s="126"/>
      <c r="E20" s="126"/>
      <c r="F20" s="127">
        <v>0</v>
      </c>
      <c r="G20" s="127">
        <v>569</v>
      </c>
      <c r="H20" s="127">
        <v>60444</v>
      </c>
      <c r="I20" s="127">
        <v>44880</v>
      </c>
      <c r="J20" s="127">
        <v>0</v>
      </c>
      <c r="K20" s="127">
        <v>433</v>
      </c>
      <c r="L20" s="127">
        <v>16278</v>
      </c>
      <c r="M20" s="127">
        <v>0</v>
      </c>
      <c r="N20" s="127">
        <v>0</v>
      </c>
      <c r="O20" s="127">
        <v>0</v>
      </c>
      <c r="P20" s="127">
        <v>0</v>
      </c>
      <c r="Q20" s="127">
        <v>0</v>
      </c>
      <c r="R20" s="127">
        <v>0</v>
      </c>
      <c r="S20" s="127">
        <v>0</v>
      </c>
      <c r="T20" s="127">
        <v>0</v>
      </c>
      <c r="U20" s="127">
        <v>0</v>
      </c>
      <c r="V20" s="127">
        <v>122604</v>
      </c>
    </row>
    <row r="21" spans="1:24">
      <c r="A21" s="172"/>
      <c r="B21" s="126"/>
      <c r="C21" s="126" t="s">
        <v>13</v>
      </c>
      <c r="D21" s="126"/>
      <c r="E21" s="126"/>
      <c r="F21" s="127">
        <v>43778</v>
      </c>
      <c r="G21" s="127">
        <v>0</v>
      </c>
      <c r="H21" s="127">
        <v>0</v>
      </c>
      <c r="I21" s="127">
        <v>0</v>
      </c>
      <c r="J21" s="127">
        <v>0</v>
      </c>
      <c r="K21" s="127">
        <v>0</v>
      </c>
      <c r="L21" s="127">
        <v>23256</v>
      </c>
      <c r="M21" s="127">
        <v>0</v>
      </c>
      <c r="N21" s="127">
        <v>19447</v>
      </c>
      <c r="O21" s="127">
        <v>48485</v>
      </c>
      <c r="P21" s="127">
        <v>119</v>
      </c>
      <c r="Q21" s="127">
        <v>0</v>
      </c>
      <c r="R21" s="127">
        <v>0</v>
      </c>
      <c r="S21" s="127">
        <v>0</v>
      </c>
      <c r="T21" s="127">
        <v>0</v>
      </c>
      <c r="U21" s="127">
        <v>0</v>
      </c>
      <c r="V21" s="127">
        <v>135085</v>
      </c>
    </row>
    <row r="22" spans="1:24">
      <c r="A22" s="172"/>
      <c r="B22" s="126"/>
      <c r="C22" s="126" t="s">
        <v>188</v>
      </c>
      <c r="D22" s="126"/>
      <c r="E22" s="126"/>
      <c r="F22" s="127">
        <v>0</v>
      </c>
      <c r="G22" s="127">
        <v>207248</v>
      </c>
      <c r="H22" s="127">
        <v>0</v>
      </c>
      <c r="I22" s="127">
        <v>37289</v>
      </c>
      <c r="J22" s="127">
        <v>0</v>
      </c>
      <c r="K22" s="127">
        <v>0</v>
      </c>
      <c r="L22" s="127">
        <v>8501</v>
      </c>
      <c r="M22" s="127">
        <v>51454</v>
      </c>
      <c r="N22" s="127">
        <v>108210</v>
      </c>
      <c r="O22" s="127">
        <v>0</v>
      </c>
      <c r="P22" s="127">
        <v>82919</v>
      </c>
      <c r="Q22" s="127">
        <v>46</v>
      </c>
      <c r="R22" s="127">
        <v>124719</v>
      </c>
      <c r="S22" s="127">
        <v>42999</v>
      </c>
      <c r="T22" s="127">
        <v>0</v>
      </c>
      <c r="U22" s="127">
        <v>47717</v>
      </c>
      <c r="V22" s="127">
        <v>711102</v>
      </c>
    </row>
    <row r="23" spans="1:24">
      <c r="A23" s="172"/>
      <c r="B23" s="126"/>
      <c r="C23" s="126" t="s">
        <v>15</v>
      </c>
      <c r="D23" s="126"/>
      <c r="E23" s="126"/>
      <c r="F23" s="127">
        <v>213132</v>
      </c>
      <c r="G23" s="127">
        <v>233327</v>
      </c>
      <c r="H23" s="127">
        <v>0</v>
      </c>
      <c r="I23" s="127">
        <v>0</v>
      </c>
      <c r="J23" s="127">
        <v>0</v>
      </c>
      <c r="K23" s="127">
        <v>0</v>
      </c>
      <c r="L23" s="127">
        <v>66793</v>
      </c>
      <c r="M23" s="127">
        <v>0</v>
      </c>
      <c r="N23" s="127">
        <v>59170</v>
      </c>
      <c r="O23" s="127">
        <v>199610</v>
      </c>
      <c r="P23" s="127">
        <v>2831</v>
      </c>
      <c r="Q23" s="127">
        <v>1018</v>
      </c>
      <c r="R23" s="127">
        <v>0</v>
      </c>
      <c r="S23" s="127">
        <v>0</v>
      </c>
      <c r="T23" s="127">
        <v>0</v>
      </c>
      <c r="U23" s="127">
        <v>0</v>
      </c>
      <c r="V23" s="127">
        <v>775881</v>
      </c>
    </row>
    <row r="24" spans="1:24">
      <c r="A24" s="172"/>
      <c r="B24" s="126"/>
      <c r="C24" s="126" t="s">
        <v>16</v>
      </c>
      <c r="D24" s="126"/>
      <c r="E24" s="126"/>
      <c r="F24" s="127">
        <v>205035</v>
      </c>
      <c r="G24" s="127"/>
      <c r="H24" s="127">
        <v>47814</v>
      </c>
      <c r="I24" s="127">
        <v>31715</v>
      </c>
      <c r="J24" s="127">
        <v>7125</v>
      </c>
      <c r="K24" s="127">
        <v>40672</v>
      </c>
      <c r="L24" s="127">
        <v>152473</v>
      </c>
      <c r="M24" s="127">
        <v>18917</v>
      </c>
      <c r="N24" s="127">
        <v>176239</v>
      </c>
      <c r="O24" s="127">
        <v>388572</v>
      </c>
      <c r="P24" s="127">
        <v>87588</v>
      </c>
      <c r="Q24" s="127">
        <v>16516</v>
      </c>
      <c r="R24" s="127">
        <v>76758</v>
      </c>
      <c r="S24" s="127">
        <v>35859</v>
      </c>
      <c r="T24" s="127">
        <v>61273</v>
      </c>
      <c r="U24" s="127">
        <v>34102</v>
      </c>
      <c r="V24" s="127">
        <v>1629235</v>
      </c>
    </row>
    <row r="25" spans="1:24">
      <c r="A25" s="172"/>
      <c r="B25" s="126"/>
      <c r="C25" s="126" t="s">
        <v>187</v>
      </c>
      <c r="D25" s="126"/>
      <c r="E25" s="126"/>
      <c r="F25" s="127">
        <v>97575</v>
      </c>
      <c r="G25" s="127">
        <v>1880</v>
      </c>
      <c r="H25" s="127">
        <v>81586</v>
      </c>
      <c r="I25" s="127">
        <v>18625</v>
      </c>
      <c r="J25" s="127">
        <v>29070</v>
      </c>
      <c r="K25" s="127">
        <v>53360</v>
      </c>
      <c r="L25" s="127">
        <v>75259</v>
      </c>
      <c r="M25" s="127">
        <v>8414</v>
      </c>
      <c r="N25" s="127">
        <v>74707</v>
      </c>
      <c r="O25" s="127">
        <v>349065</v>
      </c>
      <c r="P25" s="127">
        <v>36729</v>
      </c>
      <c r="Q25" s="127">
        <v>27580</v>
      </c>
      <c r="R25" s="127">
        <v>1553</v>
      </c>
      <c r="S25" s="127">
        <v>21999</v>
      </c>
      <c r="T25" s="127">
        <v>92338</v>
      </c>
      <c r="U25" s="127">
        <v>22575</v>
      </c>
      <c r="V25" s="127">
        <v>992315</v>
      </c>
    </row>
    <row r="26" spans="1:24">
      <c r="A26" s="172"/>
      <c r="B26" s="126"/>
      <c r="C26" s="126" t="s">
        <v>11</v>
      </c>
      <c r="D26" s="126"/>
      <c r="E26" s="126"/>
      <c r="F26" s="127">
        <v>10922</v>
      </c>
      <c r="G26" s="127">
        <v>4579</v>
      </c>
      <c r="H26" s="127">
        <v>2407</v>
      </c>
      <c r="I26" s="127">
        <v>773</v>
      </c>
      <c r="J26" s="127">
        <v>515</v>
      </c>
      <c r="K26" s="127">
        <v>1590</v>
      </c>
      <c r="L26" s="127">
        <v>2598</v>
      </c>
      <c r="M26" s="127">
        <v>639</v>
      </c>
      <c r="N26" s="127">
        <v>3472</v>
      </c>
      <c r="O26" s="127">
        <v>8560</v>
      </c>
      <c r="P26" s="127">
        <v>1315</v>
      </c>
      <c r="Q26" s="127">
        <v>585</v>
      </c>
      <c r="R26" s="127">
        <v>1747</v>
      </c>
      <c r="S26" s="127">
        <v>732</v>
      </c>
      <c r="T26" s="127">
        <v>2304</v>
      </c>
      <c r="U26" s="127">
        <v>750</v>
      </c>
      <c r="V26" s="127">
        <v>43488</v>
      </c>
    </row>
    <row r="27" spans="1:24">
      <c r="A27" s="172"/>
      <c r="B27" s="126"/>
      <c r="C27" s="126" t="s">
        <v>17</v>
      </c>
      <c r="D27" s="126"/>
      <c r="E27" s="126"/>
      <c r="F27" s="127">
        <v>0</v>
      </c>
      <c r="G27" s="127">
        <v>0</v>
      </c>
      <c r="H27" s="127">
        <v>331</v>
      </c>
      <c r="I27" s="127">
        <v>0</v>
      </c>
      <c r="J27" s="127">
        <v>119</v>
      </c>
      <c r="K27" s="127">
        <v>0</v>
      </c>
      <c r="L27" s="127">
        <v>317</v>
      </c>
      <c r="M27" s="127">
        <v>0</v>
      </c>
      <c r="N27" s="127">
        <v>0</v>
      </c>
      <c r="O27" s="127">
        <v>0</v>
      </c>
      <c r="P27" s="127">
        <v>0</v>
      </c>
      <c r="Q27" s="127">
        <v>0</v>
      </c>
      <c r="R27" s="127">
        <v>0</v>
      </c>
      <c r="S27" s="127">
        <v>0</v>
      </c>
      <c r="T27" s="127">
        <v>0</v>
      </c>
      <c r="U27" s="127">
        <v>0</v>
      </c>
      <c r="V27" s="127">
        <v>767</v>
      </c>
    </row>
    <row r="28" spans="1:24">
      <c r="A28" s="172"/>
      <c r="B28" s="128"/>
      <c r="C28" s="128" t="s">
        <v>18</v>
      </c>
      <c r="D28" s="128"/>
      <c r="E28" s="128"/>
      <c r="F28" s="129">
        <v>689</v>
      </c>
      <c r="G28" s="129">
        <v>301</v>
      </c>
      <c r="H28" s="129">
        <v>576</v>
      </c>
      <c r="I28" s="129">
        <v>889</v>
      </c>
      <c r="J28" s="129">
        <v>263</v>
      </c>
      <c r="K28" s="129">
        <v>547</v>
      </c>
      <c r="L28" s="129">
        <v>1297</v>
      </c>
      <c r="M28" s="129">
        <v>0</v>
      </c>
      <c r="N28" s="129">
        <v>0</v>
      </c>
      <c r="O28" s="129">
        <v>7468</v>
      </c>
      <c r="P28" s="129">
        <v>0</v>
      </c>
      <c r="Q28" s="129">
        <v>45</v>
      </c>
      <c r="R28" s="129">
        <v>751</v>
      </c>
      <c r="S28" s="129">
        <v>84</v>
      </c>
      <c r="T28" s="129">
        <v>0</v>
      </c>
      <c r="U28" s="129">
        <v>0</v>
      </c>
      <c r="V28" s="127">
        <v>12910</v>
      </c>
    </row>
    <row r="29" spans="1:24">
      <c r="A29" s="172"/>
      <c r="B29" s="120" t="s">
        <v>125</v>
      </c>
      <c r="C29" s="120"/>
      <c r="D29" s="120"/>
      <c r="E29" s="120"/>
      <c r="F29" s="124">
        <v>471737</v>
      </c>
      <c r="G29" s="124">
        <v>418541</v>
      </c>
      <c r="H29" s="124">
        <v>133629</v>
      </c>
      <c r="I29" s="124">
        <v>75829</v>
      </c>
      <c r="J29" s="124">
        <v>32809</v>
      </c>
      <c r="K29" s="124">
        <v>78974</v>
      </c>
      <c r="L29" s="124">
        <v>231458</v>
      </c>
      <c r="M29" s="124">
        <v>53222</v>
      </c>
      <c r="N29" s="124">
        <v>322969</v>
      </c>
      <c r="O29" s="124">
        <v>692791</v>
      </c>
      <c r="P29" s="124">
        <v>153176</v>
      </c>
      <c r="Q29" s="124">
        <v>38536</v>
      </c>
      <c r="R29" s="124">
        <v>145047</v>
      </c>
      <c r="S29" s="124">
        <v>63804</v>
      </c>
      <c r="T29" s="124">
        <v>108193</v>
      </c>
      <c r="U29" s="124">
        <v>67749</v>
      </c>
      <c r="V29" s="124">
        <v>3088464</v>
      </c>
      <c r="X29" s="139"/>
    </row>
    <row r="30" spans="1:24" ht="25.5" customHeight="1">
      <c r="A30" s="172"/>
      <c r="B30" s="175" t="s">
        <v>132</v>
      </c>
      <c r="C30" s="175"/>
      <c r="D30" s="175"/>
      <c r="E30" s="175"/>
      <c r="F30" s="122">
        <v>101034</v>
      </c>
      <c r="G30" s="122">
        <v>73270</v>
      </c>
      <c r="H30" s="122">
        <v>55775</v>
      </c>
      <c r="I30" s="122">
        <v>32867</v>
      </c>
      <c r="J30" s="122">
        <v>9140</v>
      </c>
      <c r="K30" s="122">
        <v>32993</v>
      </c>
      <c r="L30" s="122">
        <v>67275</v>
      </c>
      <c r="M30" s="122">
        <v>16933</v>
      </c>
      <c r="N30" s="122">
        <v>89516</v>
      </c>
      <c r="O30" s="122">
        <v>189581</v>
      </c>
      <c r="P30" s="122">
        <v>44983</v>
      </c>
      <c r="Q30" s="122">
        <v>11200</v>
      </c>
      <c r="R30" s="122">
        <v>37933</v>
      </c>
      <c r="S30" s="122">
        <v>18375</v>
      </c>
      <c r="T30" s="122">
        <v>27003</v>
      </c>
      <c r="U30" s="122">
        <v>18842</v>
      </c>
      <c r="V30" s="122">
        <v>826720</v>
      </c>
    </row>
    <row r="31" spans="1:24">
      <c r="A31" s="172"/>
      <c r="B31" s="126"/>
      <c r="C31" s="126" t="s">
        <v>112</v>
      </c>
      <c r="D31" s="126"/>
      <c r="E31" s="126"/>
      <c r="F31" s="127">
        <v>93657</v>
      </c>
      <c r="G31" s="127">
        <v>70277</v>
      </c>
      <c r="H31" s="127">
        <v>37689</v>
      </c>
      <c r="I31" s="127">
        <v>25395</v>
      </c>
      <c r="J31" s="127">
        <v>4076</v>
      </c>
      <c r="K31" s="127">
        <v>20047</v>
      </c>
      <c r="L31" s="127">
        <v>65680</v>
      </c>
      <c r="M31" s="127">
        <v>14863</v>
      </c>
      <c r="N31" s="127">
        <v>72099</v>
      </c>
      <c r="O31" s="127">
        <v>118528</v>
      </c>
      <c r="P31" s="127">
        <v>34676</v>
      </c>
      <c r="Q31" s="127">
        <v>7918</v>
      </c>
      <c r="R31" s="127">
        <v>36242</v>
      </c>
      <c r="S31" s="127">
        <v>17058</v>
      </c>
      <c r="T31" s="127">
        <v>17434</v>
      </c>
      <c r="U31" s="127">
        <v>16563</v>
      </c>
      <c r="V31" s="127">
        <v>652202</v>
      </c>
    </row>
    <row r="32" spans="1:24">
      <c r="A32" s="172"/>
      <c r="B32" s="126"/>
      <c r="C32" s="126" t="s">
        <v>187</v>
      </c>
      <c r="D32" s="126"/>
      <c r="E32" s="126"/>
      <c r="F32" s="127">
        <v>2167</v>
      </c>
      <c r="G32" s="127">
        <v>90</v>
      </c>
      <c r="H32" s="127">
        <v>15771</v>
      </c>
      <c r="I32" s="127">
        <v>6721</v>
      </c>
      <c r="J32" s="127">
        <v>4629</v>
      </c>
      <c r="K32" s="127">
        <v>11757</v>
      </c>
      <c r="L32" s="127">
        <v>0</v>
      </c>
      <c r="M32" s="127">
        <v>1608</v>
      </c>
      <c r="N32" s="127">
        <v>15407</v>
      </c>
      <c r="O32" s="127">
        <v>61885</v>
      </c>
      <c r="P32" s="127">
        <v>9504</v>
      </c>
      <c r="Q32" s="127">
        <v>3002</v>
      </c>
      <c r="R32" s="127">
        <v>223</v>
      </c>
      <c r="S32" s="127">
        <v>888</v>
      </c>
      <c r="T32" s="127">
        <v>8573</v>
      </c>
      <c r="U32" s="127">
        <v>1969</v>
      </c>
      <c r="V32" s="127">
        <v>144194</v>
      </c>
    </row>
    <row r="33" spans="1:22">
      <c r="A33" s="172"/>
      <c r="B33" s="126"/>
      <c r="C33" s="126" t="s">
        <v>11</v>
      </c>
      <c r="D33" s="126"/>
      <c r="E33" s="126"/>
      <c r="F33" s="127">
        <v>3899</v>
      </c>
      <c r="G33" s="127">
        <v>1573</v>
      </c>
      <c r="H33" s="127">
        <v>882</v>
      </c>
      <c r="I33" s="127">
        <v>315</v>
      </c>
      <c r="J33" s="127">
        <v>178</v>
      </c>
      <c r="K33" s="127">
        <v>621</v>
      </c>
      <c r="L33" s="127">
        <v>792</v>
      </c>
      <c r="M33" s="127">
        <v>187</v>
      </c>
      <c r="N33" s="127">
        <v>1144</v>
      </c>
      <c r="O33" s="127">
        <v>2603</v>
      </c>
      <c r="P33" s="127">
        <v>412</v>
      </c>
      <c r="Q33" s="127">
        <v>199</v>
      </c>
      <c r="R33" s="127">
        <v>448</v>
      </c>
      <c r="S33" s="127">
        <v>204</v>
      </c>
      <c r="T33" s="127">
        <v>772</v>
      </c>
      <c r="U33" s="127">
        <v>228</v>
      </c>
      <c r="V33" s="127">
        <v>14457</v>
      </c>
    </row>
    <row r="34" spans="1:22">
      <c r="A34" s="172"/>
      <c r="B34" s="126"/>
      <c r="C34" s="126" t="s">
        <v>19</v>
      </c>
      <c r="D34" s="126"/>
      <c r="E34" s="126"/>
      <c r="F34" s="127">
        <v>1091</v>
      </c>
      <c r="G34" s="127">
        <v>509</v>
      </c>
      <c r="H34" s="127">
        <v>173</v>
      </c>
      <c r="I34" s="127">
        <v>229</v>
      </c>
      <c r="J34" s="127">
        <v>88</v>
      </c>
      <c r="K34" s="127">
        <v>402</v>
      </c>
      <c r="L34" s="127">
        <v>539</v>
      </c>
      <c r="M34" s="127">
        <v>275</v>
      </c>
      <c r="N34" s="127">
        <v>408</v>
      </c>
      <c r="O34" s="127">
        <v>2838</v>
      </c>
      <c r="P34" s="127">
        <v>188</v>
      </c>
      <c r="Q34" s="127">
        <v>39</v>
      </c>
      <c r="R34" s="127">
        <v>321</v>
      </c>
      <c r="S34" s="127">
        <v>45</v>
      </c>
      <c r="T34" s="127">
        <v>224</v>
      </c>
      <c r="U34" s="127">
        <v>0</v>
      </c>
      <c r="V34" s="127">
        <v>7369</v>
      </c>
    </row>
    <row r="35" spans="1:22">
      <c r="A35" s="172"/>
      <c r="B35" s="131"/>
      <c r="C35" s="131" t="s">
        <v>20</v>
      </c>
      <c r="D35" s="131"/>
      <c r="E35" s="131"/>
      <c r="F35" s="129">
        <v>220</v>
      </c>
      <c r="G35" s="129">
        <v>821</v>
      </c>
      <c r="H35" s="129">
        <v>1260</v>
      </c>
      <c r="I35" s="129">
        <v>207</v>
      </c>
      <c r="J35" s="129">
        <v>169</v>
      </c>
      <c r="K35" s="129">
        <v>166</v>
      </c>
      <c r="L35" s="129">
        <v>264</v>
      </c>
      <c r="M35" s="129">
        <v>0</v>
      </c>
      <c r="N35" s="129">
        <v>458</v>
      </c>
      <c r="O35" s="129">
        <v>3727</v>
      </c>
      <c r="P35" s="129">
        <v>203</v>
      </c>
      <c r="Q35" s="129">
        <v>42</v>
      </c>
      <c r="R35" s="129">
        <v>699</v>
      </c>
      <c r="S35" s="129">
        <v>180</v>
      </c>
      <c r="T35" s="129">
        <v>0</v>
      </c>
      <c r="U35" s="129">
        <v>82</v>
      </c>
      <c r="V35" s="129">
        <v>8498</v>
      </c>
    </row>
    <row r="36" spans="1:22" ht="22.5" customHeight="1">
      <c r="A36" s="172"/>
      <c r="B36" s="132"/>
      <c r="C36" s="132"/>
      <c r="D36" s="132"/>
      <c r="E36" s="132"/>
      <c r="F36" s="127"/>
      <c r="G36" s="127"/>
      <c r="H36" s="127"/>
      <c r="I36" s="127"/>
      <c r="J36" s="127"/>
      <c r="K36" s="127"/>
      <c r="L36" s="127"/>
      <c r="M36" s="127"/>
      <c r="N36" s="127"/>
      <c r="O36" s="127"/>
      <c r="P36" s="127"/>
      <c r="Q36" s="127"/>
      <c r="R36" s="127"/>
      <c r="S36" s="127"/>
      <c r="T36" s="127"/>
      <c r="U36" s="127"/>
      <c r="V36" s="127"/>
    </row>
    <row r="37" spans="1:22" ht="13.5" customHeight="1">
      <c r="A37" s="176">
        <v>56</v>
      </c>
      <c r="B37" s="125" t="s">
        <v>128</v>
      </c>
      <c r="C37" s="125"/>
      <c r="D37" s="125"/>
      <c r="E37" s="125"/>
      <c r="F37" s="122">
        <v>370703</v>
      </c>
      <c r="G37" s="122">
        <v>345271</v>
      </c>
      <c r="H37" s="122">
        <v>77854</v>
      </c>
      <c r="I37" s="122">
        <v>42962</v>
      </c>
      <c r="J37" s="122">
        <v>23669</v>
      </c>
      <c r="K37" s="122">
        <v>45981</v>
      </c>
      <c r="L37" s="122">
        <v>164183</v>
      </c>
      <c r="M37" s="122">
        <v>36289</v>
      </c>
      <c r="N37" s="122">
        <v>233453</v>
      </c>
      <c r="O37" s="122">
        <v>503210</v>
      </c>
      <c r="P37" s="122">
        <v>108193</v>
      </c>
      <c r="Q37" s="122">
        <v>27336</v>
      </c>
      <c r="R37" s="122">
        <v>107114</v>
      </c>
      <c r="S37" s="122">
        <v>45429</v>
      </c>
      <c r="T37" s="122">
        <v>81190</v>
      </c>
      <c r="U37" s="122">
        <v>48907</v>
      </c>
      <c r="V37" s="122">
        <v>2261744</v>
      </c>
    </row>
    <row r="38" spans="1:22">
      <c r="A38" s="176"/>
      <c r="B38" s="126"/>
      <c r="C38" s="126" t="s">
        <v>21</v>
      </c>
      <c r="D38" s="126"/>
      <c r="E38" s="126"/>
      <c r="F38" s="127">
        <v>200308</v>
      </c>
      <c r="G38" s="127">
        <v>250957</v>
      </c>
      <c r="H38" s="127">
        <v>50202</v>
      </c>
      <c r="I38" s="127">
        <v>26304</v>
      </c>
      <c r="J38" s="127">
        <v>17803</v>
      </c>
      <c r="K38" s="127">
        <v>37008</v>
      </c>
      <c r="L38" s="127">
        <v>104373</v>
      </c>
      <c r="M38" s="127">
        <v>23377</v>
      </c>
      <c r="N38" s="127">
        <v>150491</v>
      </c>
      <c r="O38" s="127">
        <v>324218</v>
      </c>
      <c r="P38" s="127">
        <v>66151</v>
      </c>
      <c r="Q38" s="127">
        <v>16502</v>
      </c>
      <c r="R38" s="127">
        <v>60653</v>
      </c>
      <c r="S38" s="127">
        <v>30054</v>
      </c>
      <c r="T38" s="127">
        <v>56680</v>
      </c>
      <c r="U38" s="127">
        <v>28434</v>
      </c>
      <c r="V38" s="127">
        <v>1443515</v>
      </c>
    </row>
    <row r="39" spans="1:22">
      <c r="A39" s="176"/>
      <c r="B39" s="126"/>
      <c r="C39" s="126"/>
      <c r="D39" s="126" t="s">
        <v>22</v>
      </c>
      <c r="E39" s="126"/>
      <c r="F39" s="127">
        <v>176357</v>
      </c>
      <c r="G39" s="127">
        <v>224239</v>
      </c>
      <c r="H39" s="127">
        <v>41295</v>
      </c>
      <c r="I39" s="127">
        <v>26304</v>
      </c>
      <c r="J39" s="127">
        <v>15353</v>
      </c>
      <c r="K39" s="127">
        <v>31859</v>
      </c>
      <c r="L39" s="127">
        <v>96460</v>
      </c>
      <c r="M39" s="127">
        <v>20645</v>
      </c>
      <c r="N39" s="127">
        <v>135976</v>
      </c>
      <c r="O39" s="127">
        <v>297522</v>
      </c>
      <c r="P39" s="127">
        <v>60778</v>
      </c>
      <c r="Q39" s="127">
        <v>14882</v>
      </c>
      <c r="R39" s="127">
        <v>53350</v>
      </c>
      <c r="S39" s="127">
        <v>26892</v>
      </c>
      <c r="T39" s="127">
        <v>47176</v>
      </c>
      <c r="U39" s="127">
        <v>26672</v>
      </c>
      <c r="V39" s="127">
        <v>1295760</v>
      </c>
    </row>
    <row r="40" spans="1:22">
      <c r="A40" s="176"/>
      <c r="B40" s="126"/>
      <c r="C40" s="126"/>
      <c r="D40" s="126" t="s">
        <v>23</v>
      </c>
      <c r="E40" s="126"/>
      <c r="F40" s="127">
        <v>23677</v>
      </c>
      <c r="G40" s="127">
        <v>23141</v>
      </c>
      <c r="H40" s="127">
        <v>8907</v>
      </c>
      <c r="I40" s="127">
        <v>0</v>
      </c>
      <c r="J40" s="127">
        <v>2450</v>
      </c>
      <c r="K40" s="127">
        <v>5149</v>
      </c>
      <c r="L40" s="127">
        <v>7913</v>
      </c>
      <c r="M40" s="127">
        <v>2732</v>
      </c>
      <c r="N40" s="127">
        <v>14515</v>
      </c>
      <c r="O40" s="127">
        <v>26696</v>
      </c>
      <c r="P40" s="127">
        <v>5373</v>
      </c>
      <c r="Q40" s="127">
        <v>1620</v>
      </c>
      <c r="R40" s="127">
        <v>6618</v>
      </c>
      <c r="S40" s="127">
        <v>3162</v>
      </c>
      <c r="T40" s="127">
        <v>9319</v>
      </c>
      <c r="U40" s="127">
        <v>1762</v>
      </c>
      <c r="V40" s="127">
        <v>143034</v>
      </c>
    </row>
    <row r="41" spans="1:22">
      <c r="A41" s="176"/>
      <c r="B41" s="126"/>
      <c r="C41" s="126"/>
      <c r="D41" s="126" t="s">
        <v>24</v>
      </c>
      <c r="E41" s="126"/>
      <c r="F41" s="127">
        <v>274</v>
      </c>
      <c r="G41" s="127">
        <v>3577</v>
      </c>
      <c r="H41" s="127">
        <v>0</v>
      </c>
      <c r="I41" s="127">
        <v>0</v>
      </c>
      <c r="J41" s="127">
        <v>0</v>
      </c>
      <c r="K41" s="127">
        <v>0</v>
      </c>
      <c r="L41" s="127">
        <v>0</v>
      </c>
      <c r="M41" s="127">
        <v>0</v>
      </c>
      <c r="N41" s="127">
        <v>0</v>
      </c>
      <c r="O41" s="127">
        <v>0</v>
      </c>
      <c r="P41" s="127">
        <v>0</v>
      </c>
      <c r="Q41" s="127">
        <v>0</v>
      </c>
      <c r="R41" s="127">
        <v>685</v>
      </c>
      <c r="S41" s="127">
        <v>0</v>
      </c>
      <c r="T41" s="127">
        <v>185</v>
      </c>
      <c r="U41" s="127">
        <v>0</v>
      </c>
      <c r="V41" s="127">
        <v>4721</v>
      </c>
    </row>
    <row r="42" spans="1:22">
      <c r="A42" s="176"/>
      <c r="B42" s="126"/>
      <c r="C42" s="126" t="s">
        <v>25</v>
      </c>
      <c r="D42" s="126"/>
      <c r="E42" s="126"/>
      <c r="F42" s="127">
        <v>21</v>
      </c>
      <c r="G42" s="127">
        <v>0</v>
      </c>
      <c r="H42" s="127">
        <v>0</v>
      </c>
      <c r="I42" s="127">
        <v>0</v>
      </c>
      <c r="J42" s="127">
        <v>0</v>
      </c>
      <c r="K42" s="127">
        <v>0</v>
      </c>
      <c r="L42" s="127">
        <v>0</v>
      </c>
      <c r="M42" s="127">
        <v>0</v>
      </c>
      <c r="N42" s="127">
        <v>0</v>
      </c>
      <c r="O42" s="127">
        <v>0</v>
      </c>
      <c r="P42" s="127">
        <v>0</v>
      </c>
      <c r="Q42" s="127">
        <v>0</v>
      </c>
      <c r="R42" s="127">
        <v>0</v>
      </c>
      <c r="S42" s="127">
        <v>0</v>
      </c>
      <c r="T42" s="127">
        <v>0</v>
      </c>
      <c r="U42" s="127">
        <v>0</v>
      </c>
      <c r="V42" s="127">
        <v>21</v>
      </c>
    </row>
    <row r="43" spans="1:22">
      <c r="A43" s="176"/>
      <c r="B43" s="126"/>
      <c r="C43" s="126" t="s">
        <v>26</v>
      </c>
      <c r="D43" s="126"/>
      <c r="E43" s="126"/>
      <c r="F43" s="127">
        <v>97547</v>
      </c>
      <c r="G43" s="127">
        <v>15983</v>
      </c>
      <c r="H43" s="127">
        <v>9679</v>
      </c>
      <c r="I43" s="127">
        <v>4583</v>
      </c>
      <c r="J43" s="127">
        <v>2687</v>
      </c>
      <c r="K43" s="127">
        <v>4258</v>
      </c>
      <c r="L43" s="127">
        <v>17185</v>
      </c>
      <c r="M43" s="127">
        <v>9414</v>
      </c>
      <c r="N43" s="127">
        <v>38226</v>
      </c>
      <c r="O43" s="127">
        <v>95162</v>
      </c>
      <c r="P43" s="127">
        <v>20075</v>
      </c>
      <c r="Q43" s="127">
        <v>3771</v>
      </c>
      <c r="R43" s="127">
        <v>22841</v>
      </c>
      <c r="S43" s="127">
        <v>6705</v>
      </c>
      <c r="T43" s="127">
        <v>12153</v>
      </c>
      <c r="U43" s="127">
        <v>12343</v>
      </c>
      <c r="V43" s="127">
        <v>372612</v>
      </c>
    </row>
    <row r="44" spans="1:22">
      <c r="A44" s="176"/>
      <c r="B44" s="126"/>
      <c r="C44" s="126" t="s">
        <v>27</v>
      </c>
      <c r="D44" s="126"/>
      <c r="E44" s="126"/>
      <c r="F44" s="127">
        <v>652</v>
      </c>
      <c r="G44" s="127">
        <v>4796</v>
      </c>
      <c r="H44" s="127">
        <v>360</v>
      </c>
      <c r="I44" s="127">
        <v>0</v>
      </c>
      <c r="J44" s="127">
        <v>28</v>
      </c>
      <c r="K44" s="127">
        <v>157</v>
      </c>
      <c r="L44" s="127">
        <v>0</v>
      </c>
      <c r="M44" s="127">
        <v>0</v>
      </c>
      <c r="N44" s="127">
        <v>19</v>
      </c>
      <c r="O44" s="127">
        <v>0</v>
      </c>
      <c r="P44" s="127">
        <v>918</v>
      </c>
      <c r="Q44" s="127">
        <v>0</v>
      </c>
      <c r="R44" s="127">
        <v>0</v>
      </c>
      <c r="S44" s="127">
        <v>0</v>
      </c>
      <c r="T44" s="127">
        <v>445</v>
      </c>
      <c r="U44" s="127">
        <v>0</v>
      </c>
      <c r="V44" s="127">
        <v>7375</v>
      </c>
    </row>
    <row r="45" spans="1:22">
      <c r="A45" s="176"/>
      <c r="B45" s="126"/>
      <c r="C45" s="126" t="s">
        <v>28</v>
      </c>
      <c r="D45" s="126"/>
      <c r="E45" s="126"/>
      <c r="F45" s="127">
        <v>55821</v>
      </c>
      <c r="G45" s="127">
        <v>0</v>
      </c>
      <c r="H45" s="127">
        <v>4663</v>
      </c>
      <c r="I45" s="127">
        <v>4012</v>
      </c>
      <c r="J45" s="127">
        <v>912</v>
      </c>
      <c r="K45" s="127">
        <v>856</v>
      </c>
      <c r="L45" s="127">
        <v>14379</v>
      </c>
      <c r="M45" s="127">
        <v>2026</v>
      </c>
      <c r="N45" s="127">
        <v>16936</v>
      </c>
      <c r="O45" s="127">
        <v>28268</v>
      </c>
      <c r="P45" s="127">
        <v>8037</v>
      </c>
      <c r="Q45" s="127">
        <v>1027</v>
      </c>
      <c r="R45" s="127">
        <v>8777</v>
      </c>
      <c r="S45" s="127">
        <v>1821</v>
      </c>
      <c r="T45" s="127">
        <v>6342</v>
      </c>
      <c r="U45" s="127">
        <v>2773</v>
      </c>
      <c r="V45" s="127">
        <v>156650</v>
      </c>
    </row>
    <row r="46" spans="1:22">
      <c r="A46" s="176"/>
      <c r="B46" s="126"/>
      <c r="C46" s="126" t="s">
        <v>29</v>
      </c>
      <c r="D46" s="126"/>
      <c r="E46" s="126"/>
      <c r="F46" s="127">
        <v>0</v>
      </c>
      <c r="G46" s="127">
        <v>46481</v>
      </c>
      <c r="H46" s="127">
        <v>3203</v>
      </c>
      <c r="I46" s="127">
        <v>2845</v>
      </c>
      <c r="J46" s="127">
        <v>902</v>
      </c>
      <c r="K46" s="127">
        <v>271</v>
      </c>
      <c r="L46" s="127">
        <v>16068</v>
      </c>
      <c r="M46" s="127">
        <v>11</v>
      </c>
      <c r="N46" s="127">
        <v>14710</v>
      </c>
      <c r="O46" s="127">
        <v>14429</v>
      </c>
      <c r="P46" s="127">
        <v>1928</v>
      </c>
      <c r="Q46" s="127">
        <v>3435</v>
      </c>
      <c r="R46" s="127">
        <v>6178</v>
      </c>
      <c r="S46" s="127">
        <v>2436</v>
      </c>
      <c r="T46" s="127">
        <v>295</v>
      </c>
      <c r="U46" s="127">
        <v>1510</v>
      </c>
      <c r="V46" s="127">
        <v>114702</v>
      </c>
    </row>
    <row r="47" spans="1:22">
      <c r="A47" s="176"/>
      <c r="B47" s="126"/>
      <c r="C47" s="126" t="s">
        <v>30</v>
      </c>
      <c r="D47" s="126"/>
      <c r="E47" s="126"/>
      <c r="F47" s="127">
        <v>16354</v>
      </c>
      <c r="G47" s="127">
        <v>13038</v>
      </c>
      <c r="H47" s="127">
        <v>9747</v>
      </c>
      <c r="I47" s="127">
        <v>5218</v>
      </c>
      <c r="J47" s="127">
        <v>1337</v>
      </c>
      <c r="K47" s="127">
        <v>3431</v>
      </c>
      <c r="L47" s="127">
        <v>12178</v>
      </c>
      <c r="M47" s="127">
        <v>1461</v>
      </c>
      <c r="N47" s="127">
        <v>13071</v>
      </c>
      <c r="O47" s="127">
        <v>41133</v>
      </c>
      <c r="P47" s="127">
        <v>11084</v>
      </c>
      <c r="Q47" s="127">
        <v>2601</v>
      </c>
      <c r="R47" s="127">
        <v>8665</v>
      </c>
      <c r="S47" s="127">
        <v>4413</v>
      </c>
      <c r="T47" s="127">
        <v>5275</v>
      </c>
      <c r="U47" s="127">
        <v>3847</v>
      </c>
      <c r="V47" s="127">
        <v>152853</v>
      </c>
    </row>
    <row r="48" spans="1:22">
      <c r="A48" s="176"/>
      <c r="B48" s="126"/>
      <c r="C48" s="126" t="s">
        <v>31</v>
      </c>
      <c r="D48" s="126"/>
      <c r="E48" s="126"/>
      <c r="F48" s="129">
        <v>0</v>
      </c>
      <c r="G48" s="129">
        <v>14016</v>
      </c>
      <c r="H48" s="129">
        <v>0</v>
      </c>
      <c r="I48" s="129">
        <v>0</v>
      </c>
      <c r="J48" s="129">
        <v>0</v>
      </c>
      <c r="K48" s="129">
        <v>0</v>
      </c>
      <c r="L48" s="129">
        <v>0</v>
      </c>
      <c r="M48" s="129">
        <v>0</v>
      </c>
      <c r="N48" s="129">
        <v>0</v>
      </c>
      <c r="O48" s="129">
        <v>0</v>
      </c>
      <c r="P48" s="129">
        <v>0</v>
      </c>
      <c r="Q48" s="129">
        <v>0</v>
      </c>
      <c r="R48" s="129">
        <v>0</v>
      </c>
      <c r="S48" s="129">
        <v>0</v>
      </c>
      <c r="T48" s="129">
        <v>0</v>
      </c>
      <c r="U48" s="129">
        <v>0</v>
      </c>
      <c r="V48" s="129">
        <v>14016</v>
      </c>
    </row>
    <row r="49" spans="1:22" ht="24" customHeight="1">
      <c r="A49" s="176"/>
      <c r="B49" s="175" t="s">
        <v>129</v>
      </c>
      <c r="C49" s="175"/>
      <c r="D49" s="175"/>
      <c r="E49" s="175"/>
      <c r="F49" s="133">
        <v>156383</v>
      </c>
      <c r="G49" s="133">
        <v>98196</v>
      </c>
      <c r="H49" s="133">
        <v>28200</v>
      </c>
      <c r="I49" s="133">
        <v>14480</v>
      </c>
      <c r="J49" s="133">
        <v>7143</v>
      </c>
      <c r="K49" s="133">
        <v>12384</v>
      </c>
      <c r="L49" s="133">
        <v>64746</v>
      </c>
      <c r="M49" s="133">
        <v>14035</v>
      </c>
      <c r="N49" s="133">
        <v>84844</v>
      </c>
      <c r="O49" s="133">
        <v>183385</v>
      </c>
      <c r="P49" s="133">
        <v>40788</v>
      </c>
      <c r="Q49" s="133">
        <v>11831</v>
      </c>
      <c r="R49" s="133">
        <v>50419</v>
      </c>
      <c r="S49" s="133">
        <v>17307</v>
      </c>
      <c r="T49" s="133">
        <v>31950</v>
      </c>
      <c r="U49" s="133">
        <v>21052</v>
      </c>
      <c r="V49" s="133">
        <v>837143</v>
      </c>
    </row>
    <row r="50" spans="1:22">
      <c r="A50" s="176"/>
      <c r="B50" s="126"/>
      <c r="C50" s="126" t="s">
        <v>21</v>
      </c>
      <c r="D50" s="126"/>
      <c r="E50" s="126"/>
      <c r="F50" s="127">
        <v>23951</v>
      </c>
      <c r="G50" s="127">
        <v>26718</v>
      </c>
      <c r="H50" s="127">
        <v>7613</v>
      </c>
      <c r="I50" s="127">
        <v>0</v>
      </c>
      <c r="J50" s="127">
        <v>1744</v>
      </c>
      <c r="K50" s="127">
        <v>4756</v>
      </c>
      <c r="L50" s="127">
        <v>7913</v>
      </c>
      <c r="M50" s="127">
        <v>1412</v>
      </c>
      <c r="N50" s="127">
        <v>14198</v>
      </c>
      <c r="O50" s="127">
        <v>26696</v>
      </c>
      <c r="P50" s="127">
        <v>5373</v>
      </c>
      <c r="Q50" s="127">
        <v>1620</v>
      </c>
      <c r="R50" s="127">
        <v>6112</v>
      </c>
      <c r="S50" s="127">
        <v>3162</v>
      </c>
      <c r="T50" s="127">
        <v>8233</v>
      </c>
      <c r="U50" s="127">
        <v>1762</v>
      </c>
      <c r="V50" s="127">
        <v>141263</v>
      </c>
    </row>
    <row r="51" spans="1:22">
      <c r="A51" s="176"/>
      <c r="B51" s="126"/>
      <c r="C51" s="126"/>
      <c r="D51" s="126" t="s">
        <v>23</v>
      </c>
      <c r="E51" s="126"/>
      <c r="F51" s="127">
        <v>23677</v>
      </c>
      <c r="G51" s="127">
        <v>23141</v>
      </c>
      <c r="H51" s="127">
        <v>7613</v>
      </c>
      <c r="I51" s="127">
        <v>0</v>
      </c>
      <c r="J51" s="127">
        <v>1744</v>
      </c>
      <c r="K51" s="127">
        <v>4756</v>
      </c>
      <c r="L51" s="127">
        <v>7913</v>
      </c>
      <c r="M51" s="127">
        <v>1412</v>
      </c>
      <c r="N51" s="127">
        <v>14198</v>
      </c>
      <c r="O51" s="127">
        <v>26696</v>
      </c>
      <c r="P51" s="127">
        <v>5373</v>
      </c>
      <c r="Q51" s="127">
        <v>1620</v>
      </c>
      <c r="R51" s="127">
        <v>5427</v>
      </c>
      <c r="S51" s="127">
        <v>3162</v>
      </c>
      <c r="T51" s="127">
        <v>8048</v>
      </c>
      <c r="U51" s="127">
        <v>1762</v>
      </c>
      <c r="V51" s="127">
        <v>136542</v>
      </c>
    </row>
    <row r="52" spans="1:22">
      <c r="A52" s="176"/>
      <c r="B52" s="126"/>
      <c r="C52" s="126"/>
      <c r="D52" s="126" t="s">
        <v>24</v>
      </c>
      <c r="E52" s="126"/>
      <c r="F52" s="127">
        <v>274</v>
      </c>
      <c r="G52" s="127">
        <v>3577</v>
      </c>
      <c r="H52" s="127">
        <v>0</v>
      </c>
      <c r="I52" s="127">
        <v>0</v>
      </c>
      <c r="J52" s="127">
        <v>0</v>
      </c>
      <c r="K52" s="127">
        <v>0</v>
      </c>
      <c r="L52" s="127">
        <v>0</v>
      </c>
      <c r="M52" s="127">
        <v>0</v>
      </c>
      <c r="N52" s="127">
        <v>0</v>
      </c>
      <c r="O52" s="127">
        <v>0</v>
      </c>
      <c r="P52" s="127">
        <v>0</v>
      </c>
      <c r="Q52" s="127">
        <v>0</v>
      </c>
      <c r="R52" s="127">
        <v>685</v>
      </c>
      <c r="S52" s="127">
        <v>0</v>
      </c>
      <c r="T52" s="127">
        <v>185</v>
      </c>
      <c r="U52" s="127">
        <v>0</v>
      </c>
      <c r="V52" s="127">
        <v>4721</v>
      </c>
    </row>
    <row r="53" spans="1:22">
      <c r="A53" s="176"/>
      <c r="B53" s="126"/>
      <c r="C53" s="126" t="s">
        <v>25</v>
      </c>
      <c r="D53" s="126"/>
      <c r="E53" s="126"/>
      <c r="F53" s="127">
        <v>21</v>
      </c>
      <c r="G53" s="127">
        <v>0</v>
      </c>
      <c r="H53" s="127">
        <v>0</v>
      </c>
      <c r="I53" s="127">
        <v>0</v>
      </c>
      <c r="J53" s="127">
        <v>0</v>
      </c>
      <c r="K53" s="127">
        <v>0</v>
      </c>
      <c r="L53" s="127">
        <v>0</v>
      </c>
      <c r="M53" s="127">
        <v>0</v>
      </c>
      <c r="N53" s="127">
        <v>0</v>
      </c>
      <c r="O53" s="127">
        <v>0</v>
      </c>
      <c r="P53" s="127">
        <v>0</v>
      </c>
      <c r="Q53" s="127">
        <v>0</v>
      </c>
      <c r="R53" s="127">
        <v>0</v>
      </c>
      <c r="S53" s="127">
        <v>0</v>
      </c>
      <c r="T53" s="127">
        <v>0</v>
      </c>
      <c r="U53" s="127">
        <v>0</v>
      </c>
      <c r="V53" s="127">
        <v>21</v>
      </c>
    </row>
    <row r="54" spans="1:22">
      <c r="A54" s="176"/>
      <c r="B54" s="126"/>
      <c r="C54" s="126" t="s">
        <v>26</v>
      </c>
      <c r="D54" s="126"/>
      <c r="E54" s="126"/>
      <c r="F54" s="127">
        <v>67564</v>
      </c>
      <c r="G54" s="127">
        <v>15459</v>
      </c>
      <c r="H54" s="127">
        <v>9679</v>
      </c>
      <c r="I54" s="127">
        <v>4583</v>
      </c>
      <c r="J54" s="127">
        <v>2653</v>
      </c>
      <c r="K54" s="127">
        <v>4212</v>
      </c>
      <c r="L54" s="127">
        <v>17185</v>
      </c>
      <c r="M54" s="127">
        <v>9354</v>
      </c>
      <c r="N54" s="127">
        <v>36629</v>
      </c>
      <c r="O54" s="127">
        <v>95162</v>
      </c>
      <c r="P54" s="127">
        <v>20075</v>
      </c>
      <c r="Q54" s="127">
        <v>3771</v>
      </c>
      <c r="R54" s="127">
        <v>22250</v>
      </c>
      <c r="S54" s="127">
        <v>6618</v>
      </c>
      <c r="T54" s="127">
        <v>12153</v>
      </c>
      <c r="U54" s="127">
        <v>11779</v>
      </c>
      <c r="V54" s="127">
        <v>339126</v>
      </c>
    </row>
    <row r="55" spans="1:22">
      <c r="A55" s="176"/>
      <c r="B55" s="126"/>
      <c r="C55" s="126" t="s">
        <v>27</v>
      </c>
      <c r="D55" s="126"/>
      <c r="E55" s="126"/>
      <c r="F55" s="127">
        <v>652</v>
      </c>
      <c r="G55" s="127">
        <v>4787</v>
      </c>
      <c r="H55" s="127">
        <v>348</v>
      </c>
      <c r="I55" s="127">
        <v>0</v>
      </c>
      <c r="J55" s="127">
        <v>28</v>
      </c>
      <c r="K55" s="127">
        <v>157</v>
      </c>
      <c r="L55" s="127">
        <v>0</v>
      </c>
      <c r="M55" s="127">
        <v>0</v>
      </c>
      <c r="N55" s="127">
        <v>19</v>
      </c>
      <c r="O55" s="127">
        <v>0</v>
      </c>
      <c r="P55" s="127">
        <v>597</v>
      </c>
      <c r="Q55" s="127">
        <v>0</v>
      </c>
      <c r="R55" s="127">
        <v>0</v>
      </c>
      <c r="S55" s="127">
        <v>0</v>
      </c>
      <c r="T55" s="127">
        <v>445</v>
      </c>
      <c r="U55" s="127">
        <v>0</v>
      </c>
      <c r="V55" s="127">
        <v>7033</v>
      </c>
    </row>
    <row r="56" spans="1:22">
      <c r="A56" s="176"/>
      <c r="B56" s="126"/>
      <c r="C56" s="126" t="s">
        <v>28</v>
      </c>
      <c r="D56" s="126"/>
      <c r="E56" s="126"/>
      <c r="F56" s="127">
        <v>55821</v>
      </c>
      <c r="G56" s="127">
        <v>0</v>
      </c>
      <c r="H56" s="127">
        <v>4663</v>
      </c>
      <c r="I56" s="127">
        <v>4012</v>
      </c>
      <c r="J56" s="127">
        <v>912</v>
      </c>
      <c r="K56" s="127">
        <v>856</v>
      </c>
      <c r="L56" s="127">
        <v>14379</v>
      </c>
      <c r="M56" s="127">
        <v>2026</v>
      </c>
      <c r="N56" s="127">
        <v>16936</v>
      </c>
      <c r="O56" s="127">
        <v>28268</v>
      </c>
      <c r="P56" s="127">
        <v>8037</v>
      </c>
      <c r="Q56" s="127">
        <v>1027</v>
      </c>
      <c r="R56" s="127">
        <v>8777</v>
      </c>
      <c r="S56" s="127">
        <v>1821</v>
      </c>
      <c r="T56" s="127">
        <v>6342</v>
      </c>
      <c r="U56" s="127">
        <v>2773</v>
      </c>
      <c r="V56" s="127">
        <v>156650</v>
      </c>
    </row>
    <row r="57" spans="1:22">
      <c r="A57" s="176"/>
      <c r="B57" s="126"/>
      <c r="C57" s="126" t="s">
        <v>29</v>
      </c>
      <c r="D57" s="126"/>
      <c r="E57" s="126"/>
      <c r="F57" s="127">
        <v>0</v>
      </c>
      <c r="G57" s="127">
        <v>26188</v>
      </c>
      <c r="H57" s="127">
        <v>3178</v>
      </c>
      <c r="I57" s="127">
        <v>2845</v>
      </c>
      <c r="J57" s="127">
        <v>706</v>
      </c>
      <c r="K57" s="127">
        <v>271</v>
      </c>
      <c r="L57" s="127">
        <v>15992</v>
      </c>
      <c r="M57" s="127">
        <v>11</v>
      </c>
      <c r="N57" s="127">
        <v>7420</v>
      </c>
      <c r="O57" s="127">
        <v>6648</v>
      </c>
      <c r="P57" s="127">
        <v>1928</v>
      </c>
      <c r="Q57" s="127">
        <v>3408</v>
      </c>
      <c r="R57" s="127">
        <v>6178</v>
      </c>
      <c r="S57" s="127">
        <v>2436</v>
      </c>
      <c r="T57" s="127">
        <v>281</v>
      </c>
      <c r="U57" s="127">
        <v>1510</v>
      </c>
      <c r="V57" s="127">
        <v>79000</v>
      </c>
    </row>
    <row r="58" spans="1:22">
      <c r="A58" s="176"/>
      <c r="B58" s="126"/>
      <c r="C58" s="126" t="s">
        <v>30</v>
      </c>
      <c r="D58" s="126"/>
      <c r="E58" s="126"/>
      <c r="F58" s="127">
        <v>8374</v>
      </c>
      <c r="G58" s="127">
        <v>11510</v>
      </c>
      <c r="H58" s="127">
        <v>2719</v>
      </c>
      <c r="I58" s="127">
        <v>3040</v>
      </c>
      <c r="J58" s="127">
        <v>1100</v>
      </c>
      <c r="K58" s="127">
        <v>2132</v>
      </c>
      <c r="L58" s="127">
        <v>9277</v>
      </c>
      <c r="M58" s="127">
        <v>1232</v>
      </c>
      <c r="N58" s="127">
        <v>9642</v>
      </c>
      <c r="O58" s="127">
        <v>26611</v>
      </c>
      <c r="P58" s="127">
        <v>4778</v>
      </c>
      <c r="Q58" s="127">
        <v>2005</v>
      </c>
      <c r="R58" s="127">
        <v>7102</v>
      </c>
      <c r="S58" s="127">
        <v>3270</v>
      </c>
      <c r="T58" s="127">
        <v>4496</v>
      </c>
      <c r="U58" s="127">
        <v>3228</v>
      </c>
      <c r="V58" s="127">
        <v>100516</v>
      </c>
    </row>
    <row r="59" spans="1:22">
      <c r="A59" s="176"/>
      <c r="B59" s="128"/>
      <c r="C59" s="128" t="s">
        <v>31</v>
      </c>
      <c r="D59" s="128"/>
      <c r="E59" s="128"/>
      <c r="F59" s="129">
        <v>0</v>
      </c>
      <c r="G59" s="129">
        <v>13534</v>
      </c>
      <c r="H59" s="129">
        <v>0</v>
      </c>
      <c r="I59" s="129">
        <v>0</v>
      </c>
      <c r="J59" s="129">
        <v>0</v>
      </c>
      <c r="K59" s="129">
        <v>0</v>
      </c>
      <c r="L59" s="129">
        <v>0</v>
      </c>
      <c r="M59" s="129">
        <v>0</v>
      </c>
      <c r="N59" s="129">
        <v>0</v>
      </c>
      <c r="O59" s="129">
        <v>0</v>
      </c>
      <c r="P59" s="129">
        <v>0</v>
      </c>
      <c r="Q59" s="129">
        <v>0</v>
      </c>
      <c r="R59" s="129">
        <v>0</v>
      </c>
      <c r="S59" s="129">
        <v>0</v>
      </c>
      <c r="T59" s="129">
        <v>0</v>
      </c>
      <c r="U59" s="129">
        <v>0</v>
      </c>
      <c r="V59" s="129">
        <v>13534</v>
      </c>
    </row>
    <row r="60" spans="1:22" ht="27" customHeight="1">
      <c r="A60" s="176"/>
      <c r="B60" s="175" t="s">
        <v>130</v>
      </c>
      <c r="C60" s="175"/>
      <c r="D60" s="175"/>
      <c r="E60" s="175"/>
      <c r="F60" s="133">
        <v>214320</v>
      </c>
      <c r="G60" s="133">
        <v>247075</v>
      </c>
      <c r="H60" s="133">
        <v>49654</v>
      </c>
      <c r="I60" s="133">
        <v>28482</v>
      </c>
      <c r="J60" s="133">
        <v>16526</v>
      </c>
      <c r="K60" s="133">
        <v>33597</v>
      </c>
      <c r="L60" s="133">
        <v>99437</v>
      </c>
      <c r="M60" s="133">
        <v>22254</v>
      </c>
      <c r="N60" s="133">
        <v>148609</v>
      </c>
      <c r="O60" s="133">
        <v>319825</v>
      </c>
      <c r="P60" s="133">
        <v>67405</v>
      </c>
      <c r="Q60" s="133">
        <v>15505</v>
      </c>
      <c r="R60" s="133">
        <v>56695</v>
      </c>
      <c r="S60" s="133">
        <v>28122</v>
      </c>
      <c r="T60" s="133">
        <v>49240</v>
      </c>
      <c r="U60" s="133">
        <v>27855</v>
      </c>
      <c r="V60" s="133">
        <v>1424601</v>
      </c>
    </row>
    <row r="61" spans="1:22">
      <c r="A61" s="176"/>
      <c r="B61" s="126"/>
      <c r="C61" s="126" t="s">
        <v>21</v>
      </c>
      <c r="D61" s="126"/>
      <c r="E61" s="126"/>
      <c r="F61" s="127">
        <v>176357</v>
      </c>
      <c r="G61" s="127">
        <v>224239</v>
      </c>
      <c r="H61" s="127">
        <v>42589</v>
      </c>
      <c r="I61" s="127">
        <v>26304</v>
      </c>
      <c r="J61" s="127">
        <v>16059</v>
      </c>
      <c r="K61" s="127">
        <v>32252</v>
      </c>
      <c r="L61" s="127">
        <v>96460</v>
      </c>
      <c r="M61" s="127">
        <v>21965</v>
      </c>
      <c r="N61" s="127">
        <v>136293</v>
      </c>
      <c r="O61" s="127">
        <v>297522</v>
      </c>
      <c r="P61" s="127">
        <v>60778</v>
      </c>
      <c r="Q61" s="127">
        <v>14882</v>
      </c>
      <c r="R61" s="127">
        <v>54541</v>
      </c>
      <c r="S61" s="127">
        <v>26892</v>
      </c>
      <c r="T61" s="127">
        <v>48447</v>
      </c>
      <c r="U61" s="127">
        <v>26672</v>
      </c>
      <c r="V61" s="127">
        <v>1302252</v>
      </c>
    </row>
    <row r="62" spans="1:22">
      <c r="A62" s="176"/>
      <c r="B62" s="126"/>
      <c r="C62" s="126"/>
      <c r="D62" s="126" t="s">
        <v>22</v>
      </c>
      <c r="E62" s="126"/>
      <c r="F62" s="127">
        <v>176357</v>
      </c>
      <c r="G62" s="127">
        <v>224239</v>
      </c>
      <c r="H62" s="127">
        <v>41295</v>
      </c>
      <c r="I62" s="127">
        <v>26304</v>
      </c>
      <c r="J62" s="127">
        <v>15353</v>
      </c>
      <c r="K62" s="127">
        <v>31859</v>
      </c>
      <c r="L62" s="127">
        <v>96460</v>
      </c>
      <c r="M62" s="127">
        <v>20645</v>
      </c>
      <c r="N62" s="127">
        <v>135976</v>
      </c>
      <c r="O62" s="127">
        <v>297522</v>
      </c>
      <c r="P62" s="127">
        <v>60778</v>
      </c>
      <c r="Q62" s="127">
        <v>14882</v>
      </c>
      <c r="R62" s="127">
        <v>53350</v>
      </c>
      <c r="S62" s="127">
        <v>26892</v>
      </c>
      <c r="T62" s="127">
        <v>47176</v>
      </c>
      <c r="U62" s="127">
        <v>26672</v>
      </c>
      <c r="V62" s="127">
        <v>1295760</v>
      </c>
    </row>
    <row r="63" spans="1:22">
      <c r="A63" s="176"/>
      <c r="B63" s="126"/>
      <c r="C63" s="126"/>
      <c r="D63" s="126" t="s">
        <v>23</v>
      </c>
      <c r="E63" s="126"/>
      <c r="F63" s="127">
        <v>0</v>
      </c>
      <c r="G63" s="127">
        <v>0</v>
      </c>
      <c r="H63" s="127">
        <v>1294</v>
      </c>
      <c r="I63" s="127">
        <v>0</v>
      </c>
      <c r="J63" s="127">
        <v>706</v>
      </c>
      <c r="K63" s="127">
        <v>393</v>
      </c>
      <c r="L63" s="127">
        <v>0</v>
      </c>
      <c r="M63" s="127">
        <v>1320</v>
      </c>
      <c r="N63" s="127">
        <v>317</v>
      </c>
      <c r="O63" s="127">
        <v>0</v>
      </c>
      <c r="P63" s="127">
        <v>0</v>
      </c>
      <c r="Q63" s="127">
        <v>0</v>
      </c>
      <c r="R63" s="127">
        <v>1191</v>
      </c>
      <c r="S63" s="127">
        <v>0</v>
      </c>
      <c r="T63" s="127">
        <v>1271</v>
      </c>
      <c r="U63" s="127">
        <v>0</v>
      </c>
      <c r="V63" s="127">
        <v>6492</v>
      </c>
    </row>
    <row r="64" spans="1:22">
      <c r="A64" s="176"/>
      <c r="B64" s="126"/>
      <c r="C64" s="126" t="s">
        <v>25</v>
      </c>
      <c r="D64" s="126"/>
      <c r="E64" s="126"/>
      <c r="F64" s="127">
        <v>0</v>
      </c>
      <c r="G64" s="127">
        <v>0</v>
      </c>
      <c r="H64" s="127">
        <v>0</v>
      </c>
      <c r="I64" s="127">
        <v>0</v>
      </c>
      <c r="J64" s="127">
        <v>0</v>
      </c>
      <c r="K64" s="127">
        <v>0</v>
      </c>
      <c r="L64" s="127">
        <v>0</v>
      </c>
      <c r="M64" s="127">
        <v>0</v>
      </c>
      <c r="N64" s="127">
        <v>0</v>
      </c>
      <c r="O64" s="127">
        <v>0</v>
      </c>
      <c r="P64" s="127">
        <v>0</v>
      </c>
      <c r="Q64" s="127">
        <v>0</v>
      </c>
      <c r="R64" s="127">
        <v>0</v>
      </c>
      <c r="S64" s="127">
        <v>0</v>
      </c>
      <c r="T64" s="127">
        <v>0</v>
      </c>
      <c r="U64" s="127">
        <v>0</v>
      </c>
      <c r="V64" s="127">
        <v>0</v>
      </c>
    </row>
    <row r="65" spans="1:28">
      <c r="A65" s="176"/>
      <c r="B65" s="126"/>
      <c r="C65" s="126" t="s">
        <v>26</v>
      </c>
      <c r="D65" s="126"/>
      <c r="E65" s="126"/>
      <c r="F65" s="127">
        <v>29983</v>
      </c>
      <c r="G65" s="127">
        <v>524</v>
      </c>
      <c r="H65" s="127">
        <v>0</v>
      </c>
      <c r="I65" s="127">
        <v>0</v>
      </c>
      <c r="J65" s="127">
        <v>34</v>
      </c>
      <c r="K65" s="127">
        <v>46</v>
      </c>
      <c r="L65" s="127">
        <v>0</v>
      </c>
      <c r="M65" s="127">
        <v>60</v>
      </c>
      <c r="N65" s="127">
        <v>1597</v>
      </c>
      <c r="O65" s="127">
        <v>0</v>
      </c>
      <c r="P65" s="127">
        <v>0</v>
      </c>
      <c r="Q65" s="127">
        <v>0</v>
      </c>
      <c r="R65" s="127">
        <v>591</v>
      </c>
      <c r="S65" s="127">
        <v>87</v>
      </c>
      <c r="T65" s="127">
        <v>0</v>
      </c>
      <c r="U65" s="127">
        <v>564</v>
      </c>
      <c r="V65" s="127">
        <v>33486</v>
      </c>
    </row>
    <row r="66" spans="1:28">
      <c r="A66" s="176"/>
      <c r="B66" s="126"/>
      <c r="C66" s="126" t="s">
        <v>27</v>
      </c>
      <c r="D66" s="126"/>
      <c r="E66" s="126"/>
      <c r="F66" s="127">
        <v>0</v>
      </c>
      <c r="G66" s="127">
        <v>9</v>
      </c>
      <c r="H66" s="127">
        <v>12</v>
      </c>
      <c r="I66" s="127">
        <v>0</v>
      </c>
      <c r="J66" s="127">
        <v>0</v>
      </c>
      <c r="K66" s="127">
        <v>0</v>
      </c>
      <c r="L66" s="127">
        <v>0</v>
      </c>
      <c r="M66" s="127">
        <v>0</v>
      </c>
      <c r="N66" s="127">
        <v>0</v>
      </c>
      <c r="O66" s="127">
        <v>0</v>
      </c>
      <c r="P66" s="127">
        <v>321</v>
      </c>
      <c r="Q66" s="127">
        <v>0</v>
      </c>
      <c r="R66" s="127">
        <v>0</v>
      </c>
      <c r="S66" s="127">
        <v>0</v>
      </c>
      <c r="T66" s="127">
        <v>0</v>
      </c>
      <c r="U66" s="127">
        <v>0</v>
      </c>
      <c r="V66" s="127">
        <v>342</v>
      </c>
    </row>
    <row r="67" spans="1:28">
      <c r="A67" s="176"/>
      <c r="B67" s="126"/>
      <c r="C67" s="126" t="s">
        <v>29</v>
      </c>
      <c r="D67" s="126"/>
      <c r="E67" s="126"/>
      <c r="F67" s="127">
        <v>0</v>
      </c>
      <c r="G67" s="127">
        <v>20293</v>
      </c>
      <c r="H67" s="127">
        <v>25</v>
      </c>
      <c r="I67" s="127">
        <v>0</v>
      </c>
      <c r="J67" s="127">
        <v>196</v>
      </c>
      <c r="K67" s="127">
        <v>0</v>
      </c>
      <c r="L67" s="127">
        <v>76</v>
      </c>
      <c r="M67" s="127">
        <v>0</v>
      </c>
      <c r="N67" s="127">
        <v>7290</v>
      </c>
      <c r="O67" s="127">
        <v>7781</v>
      </c>
      <c r="P67" s="127">
        <v>0</v>
      </c>
      <c r="Q67" s="127">
        <v>27</v>
      </c>
      <c r="R67" s="127">
        <v>0</v>
      </c>
      <c r="S67" s="127">
        <v>0</v>
      </c>
      <c r="T67" s="127">
        <v>14</v>
      </c>
      <c r="U67" s="127">
        <v>0</v>
      </c>
      <c r="V67" s="127">
        <v>35702</v>
      </c>
    </row>
    <row r="68" spans="1:28">
      <c r="A68" s="176"/>
      <c r="B68" s="126"/>
      <c r="C68" s="126" t="s">
        <v>30</v>
      </c>
      <c r="D68" s="126"/>
      <c r="E68" s="126"/>
      <c r="F68" s="127">
        <v>7980</v>
      </c>
      <c r="G68" s="127">
        <v>1528</v>
      </c>
      <c r="H68" s="127">
        <v>7028</v>
      </c>
      <c r="I68" s="127">
        <v>2178</v>
      </c>
      <c r="J68" s="127">
        <v>237</v>
      </c>
      <c r="K68" s="127">
        <v>1299</v>
      </c>
      <c r="L68" s="127">
        <v>2901</v>
      </c>
      <c r="M68" s="127">
        <v>229</v>
      </c>
      <c r="N68" s="127">
        <v>3429</v>
      </c>
      <c r="O68" s="127">
        <v>14522</v>
      </c>
      <c r="P68" s="127">
        <v>6306</v>
      </c>
      <c r="Q68" s="127">
        <v>596</v>
      </c>
      <c r="R68" s="127">
        <v>1563</v>
      </c>
      <c r="S68" s="127">
        <v>1143</v>
      </c>
      <c r="T68" s="127">
        <v>779</v>
      </c>
      <c r="U68" s="127">
        <v>619</v>
      </c>
      <c r="V68" s="127">
        <v>52337</v>
      </c>
    </row>
    <row r="69" spans="1:28">
      <c r="A69" s="176"/>
      <c r="B69" s="128"/>
      <c r="C69" s="128" t="s">
        <v>31</v>
      </c>
      <c r="D69" s="128"/>
      <c r="E69" s="128"/>
      <c r="F69" s="129">
        <v>0</v>
      </c>
      <c r="G69" s="129">
        <v>482</v>
      </c>
      <c r="H69" s="129">
        <v>0</v>
      </c>
      <c r="I69" s="129">
        <v>0</v>
      </c>
      <c r="J69" s="129">
        <v>0</v>
      </c>
      <c r="K69" s="129">
        <v>0</v>
      </c>
      <c r="L69" s="129">
        <v>0</v>
      </c>
      <c r="M69" s="129">
        <v>0</v>
      </c>
      <c r="N69" s="129">
        <v>0</v>
      </c>
      <c r="O69" s="129">
        <v>0</v>
      </c>
      <c r="P69" s="129">
        <v>0</v>
      </c>
      <c r="Q69" s="129">
        <v>0</v>
      </c>
      <c r="R69" s="129">
        <v>0</v>
      </c>
      <c r="S69" s="129">
        <v>0</v>
      </c>
      <c r="T69" s="129">
        <v>0</v>
      </c>
      <c r="U69" s="129">
        <v>0</v>
      </c>
      <c r="V69" s="129">
        <v>482</v>
      </c>
    </row>
    <row r="70" spans="1:28">
      <c r="A70" s="176"/>
      <c r="B70" s="177" t="s">
        <v>33</v>
      </c>
      <c r="C70" s="177"/>
      <c r="D70" s="177"/>
      <c r="E70" s="177" t="s">
        <v>32</v>
      </c>
      <c r="F70" s="177"/>
      <c r="G70" s="177"/>
      <c r="H70" s="177"/>
      <c r="I70" s="177"/>
      <c r="J70" s="177"/>
      <c r="K70" s="177"/>
      <c r="L70" s="177"/>
      <c r="M70" s="177"/>
      <c r="N70" s="177"/>
      <c r="O70" s="177"/>
      <c r="P70" s="177"/>
      <c r="Q70" s="134"/>
      <c r="R70" s="134"/>
      <c r="S70" s="134"/>
      <c r="T70" s="134"/>
      <c r="U70" s="134"/>
      <c r="V70" s="135"/>
    </row>
    <row r="71" spans="1:28" ht="12.75" customHeight="1">
      <c r="A71" s="154"/>
      <c r="B71" s="158"/>
      <c r="C71" s="158"/>
      <c r="D71" s="158"/>
      <c r="E71" s="167" t="s">
        <v>200</v>
      </c>
      <c r="F71" s="167"/>
      <c r="G71" s="167"/>
      <c r="H71" s="167"/>
      <c r="I71" s="167"/>
      <c r="J71" s="167"/>
      <c r="K71" s="167"/>
      <c r="L71" s="167"/>
      <c r="M71" s="167"/>
      <c r="N71" s="167"/>
      <c r="O71" s="167"/>
      <c r="P71" s="167"/>
      <c r="Q71" s="167"/>
      <c r="R71" s="167"/>
      <c r="S71" s="167"/>
      <c r="T71" s="167"/>
      <c r="U71" s="167"/>
      <c r="V71" s="167"/>
      <c r="W71" s="157"/>
      <c r="X71" s="157"/>
      <c r="Y71" s="157"/>
      <c r="Z71" s="157"/>
      <c r="AA71" s="157"/>
      <c r="AB71" s="157"/>
    </row>
    <row r="72" spans="1:28" ht="13.5">
      <c r="E72" s="132" t="s">
        <v>176</v>
      </c>
      <c r="F72" s="145"/>
      <c r="G72" s="145"/>
      <c r="H72" s="145"/>
      <c r="I72" s="145"/>
      <c r="J72" s="145"/>
      <c r="K72" s="144"/>
      <c r="L72" s="144"/>
      <c r="M72" s="144"/>
      <c r="N72" s="144"/>
    </row>
  </sheetData>
  <mergeCells count="10">
    <mergeCell ref="E71:V71"/>
    <mergeCell ref="A1:A36"/>
    <mergeCell ref="B1:E1"/>
    <mergeCell ref="B5:E5"/>
    <mergeCell ref="B30:E30"/>
    <mergeCell ref="A37:A70"/>
    <mergeCell ref="B49:E49"/>
    <mergeCell ref="B60:E60"/>
    <mergeCell ref="B70:D70"/>
    <mergeCell ref="E70:P70"/>
  </mergeCells>
  <hyperlinks>
    <hyperlink ref="E71:V71" location="Leer!Druckbereich" display="Ab 2024 gelten für die Schularten des Sek-I-Bereichs neue Bezeichnungen bzw. Zusätze. Zudem kommt es bei den Hauptschulen, Schularten mit zwei Bildungsgängen und Schularten mit drei Bildungsgängen zu Neuzuordnungen." xr:uid="{DB807C90-86B6-4A4B-8B8C-A9D5C83445F8}"/>
  </hyperlinks>
  <printOptions verticalCentered="1"/>
  <pageMargins left="0.23622047244094491" right="0.23622047244094491" top="0.74803149606299213" bottom="0.74803149606299213" header="0.31496062992125984" footer="0.31496062992125984"/>
  <pageSetup paperSize="9" scale="99" orientation="landscape" r:id="rId1"/>
  <rowBreaks count="1" manualBreakCount="1">
    <brk id="36"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9"/>
  <dimension ref="A1:AB72"/>
  <sheetViews>
    <sheetView view="pageBreakPreview" zoomScale="140" zoomScaleNormal="100" zoomScaleSheetLayoutView="140" workbookViewId="0">
      <selection activeCell="J27" sqref="J27"/>
    </sheetView>
  </sheetViews>
  <sheetFormatPr baseColWidth="10" defaultRowHeight="12.75"/>
  <cols>
    <col min="1" max="1" width="2.7109375" customWidth="1"/>
    <col min="2" max="2" width="3.7109375" customWidth="1"/>
    <col min="3" max="4" width="2.7109375" customWidth="1"/>
    <col min="5" max="5" width="27.28515625" customWidth="1"/>
    <col min="6" max="18" width="9.7109375" hidden="1" customWidth="1"/>
    <col min="19" max="28" width="9.7109375" customWidth="1"/>
  </cols>
  <sheetData>
    <row r="1" spans="1:28" ht="13.5">
      <c r="A1" s="168">
        <v>57</v>
      </c>
      <c r="B1" s="169" t="s">
        <v>0</v>
      </c>
      <c r="C1" s="169"/>
      <c r="D1" s="169"/>
      <c r="E1" s="169"/>
    </row>
    <row r="2" spans="1:28" ht="13.5">
      <c r="A2" s="168"/>
      <c r="B2" s="4" t="s">
        <v>51</v>
      </c>
      <c r="C2" s="4"/>
      <c r="D2" s="4" t="s">
        <v>53</v>
      </c>
      <c r="E2" s="4"/>
    </row>
    <row r="3" spans="1:28" ht="13.5">
      <c r="A3" s="168"/>
      <c r="B3" s="5" t="s">
        <v>52</v>
      </c>
      <c r="C3" s="4"/>
      <c r="D3" s="4" t="s">
        <v>185</v>
      </c>
      <c r="E3" s="4"/>
    </row>
    <row r="4" spans="1:28" ht="23.25" customHeight="1">
      <c r="A4" s="168"/>
    </row>
    <row r="5" spans="1:28" s="6" customFormat="1" ht="18.75" customHeight="1">
      <c r="A5" s="168"/>
      <c r="B5" s="170" t="s">
        <v>126</v>
      </c>
      <c r="C5" s="170"/>
      <c r="D5" s="170"/>
      <c r="E5" s="170"/>
      <c r="F5" s="8">
        <v>2002</v>
      </c>
      <c r="G5" s="8">
        <v>2003</v>
      </c>
      <c r="H5" s="8">
        <v>2004</v>
      </c>
      <c r="I5" s="8">
        <v>2005</v>
      </c>
      <c r="J5" s="8">
        <v>2006</v>
      </c>
      <c r="K5" s="8">
        <v>2007</v>
      </c>
      <c r="L5" s="8">
        <v>2008</v>
      </c>
      <c r="M5" s="8">
        <v>2009</v>
      </c>
      <c r="N5" s="8">
        <v>2010</v>
      </c>
      <c r="O5" s="8">
        <v>2011</v>
      </c>
      <c r="P5" s="8">
        <v>2012</v>
      </c>
      <c r="Q5" s="8">
        <v>2013</v>
      </c>
      <c r="R5" s="8">
        <v>2014</v>
      </c>
      <c r="S5" s="8">
        <v>2015</v>
      </c>
      <c r="T5" s="8">
        <v>2016</v>
      </c>
      <c r="U5" s="8">
        <v>2017</v>
      </c>
      <c r="V5" s="8">
        <v>2018</v>
      </c>
      <c r="W5" s="8">
        <v>2019</v>
      </c>
      <c r="X5" s="8">
        <v>2020</v>
      </c>
      <c r="Y5" s="8">
        <v>2021</v>
      </c>
      <c r="Z5" s="8">
        <v>2022</v>
      </c>
      <c r="AA5" s="8">
        <v>2023</v>
      </c>
      <c r="AB5" s="8">
        <v>2024</v>
      </c>
    </row>
    <row r="6" spans="1:28" ht="13.5">
      <c r="A6" s="168"/>
      <c r="B6" s="9" t="s">
        <v>120</v>
      </c>
      <c r="C6" s="9"/>
      <c r="D6" s="9"/>
      <c r="E6" s="16"/>
      <c r="F6" s="49" t="s">
        <v>55</v>
      </c>
      <c r="G6" s="49" t="s">
        <v>55</v>
      </c>
      <c r="H6" s="49" t="s">
        <v>55</v>
      </c>
      <c r="I6" s="49" t="s">
        <v>55</v>
      </c>
      <c r="J6" s="49" t="s">
        <v>55</v>
      </c>
      <c r="K6" s="49" t="s">
        <v>55</v>
      </c>
      <c r="L6" s="49" t="s">
        <v>55</v>
      </c>
      <c r="M6" s="49" t="s">
        <v>55</v>
      </c>
      <c r="N6" s="49" t="s">
        <v>55</v>
      </c>
      <c r="O6" s="49" t="s">
        <v>55</v>
      </c>
      <c r="P6" s="49" t="s">
        <v>55</v>
      </c>
      <c r="Q6" s="49" t="s">
        <v>55</v>
      </c>
      <c r="R6" s="49" t="s">
        <v>55</v>
      </c>
      <c r="S6" s="49" t="s">
        <v>55</v>
      </c>
      <c r="T6" s="49" t="s">
        <v>55</v>
      </c>
      <c r="U6" s="49" t="s">
        <v>55</v>
      </c>
      <c r="V6" s="49" t="s">
        <v>55</v>
      </c>
      <c r="W6" s="49" t="s">
        <v>55</v>
      </c>
      <c r="X6" s="49" t="s">
        <v>55</v>
      </c>
      <c r="Y6" s="49" t="s">
        <v>55</v>
      </c>
      <c r="Z6" s="49" t="s">
        <v>55</v>
      </c>
      <c r="AA6" s="49" t="s">
        <v>55</v>
      </c>
      <c r="AB6" s="49" t="s">
        <v>55</v>
      </c>
    </row>
    <row r="7" spans="1:28" ht="13.5">
      <c r="A7" s="168"/>
      <c r="B7" s="10" t="s">
        <v>119</v>
      </c>
      <c r="C7" s="10"/>
      <c r="D7" s="10"/>
      <c r="E7" s="9"/>
      <c r="F7" s="80" t="s">
        <v>55</v>
      </c>
      <c r="G7" s="80" t="s">
        <v>55</v>
      </c>
      <c r="H7" s="80" t="s">
        <v>55</v>
      </c>
      <c r="I7" s="80" t="s">
        <v>55</v>
      </c>
      <c r="J7" s="80" t="s">
        <v>55</v>
      </c>
      <c r="K7" s="80" t="s">
        <v>55</v>
      </c>
      <c r="L7" s="80" t="s">
        <v>55</v>
      </c>
      <c r="M7" s="80" t="s">
        <v>55</v>
      </c>
      <c r="N7" s="80" t="s">
        <v>55</v>
      </c>
      <c r="O7" s="80" t="s">
        <v>55</v>
      </c>
      <c r="P7" s="80" t="s">
        <v>55</v>
      </c>
      <c r="Q7" s="80" t="s">
        <v>55</v>
      </c>
      <c r="R7" s="80" t="s">
        <v>55</v>
      </c>
      <c r="S7" s="80" t="s">
        <v>55</v>
      </c>
      <c r="T7" s="80" t="s">
        <v>55</v>
      </c>
      <c r="U7" s="80" t="s">
        <v>55</v>
      </c>
      <c r="V7" s="80" t="s">
        <v>55</v>
      </c>
      <c r="W7" s="80" t="s">
        <v>55</v>
      </c>
      <c r="X7" s="80" t="s">
        <v>55</v>
      </c>
      <c r="Y7" s="80" t="s">
        <v>55</v>
      </c>
      <c r="Z7" s="80" t="s">
        <v>55</v>
      </c>
      <c r="AA7" s="80" t="s">
        <v>55</v>
      </c>
      <c r="AB7" s="80" t="s">
        <v>55</v>
      </c>
    </row>
    <row r="8" spans="1:28" ht="13.5">
      <c r="A8" s="168"/>
      <c r="B8" s="11" t="s">
        <v>3</v>
      </c>
      <c r="C8" s="11"/>
      <c r="D8" s="11"/>
      <c r="E8" s="11"/>
      <c r="F8" s="60">
        <v>41889</v>
      </c>
      <c r="G8" s="60">
        <v>42191</v>
      </c>
      <c r="H8" s="60">
        <v>41994</v>
      </c>
      <c r="I8" s="60">
        <v>41452</v>
      </c>
      <c r="J8" s="60">
        <v>40988</v>
      </c>
      <c r="K8" s="60">
        <v>40513</v>
      </c>
      <c r="L8" s="60">
        <v>40131</v>
      </c>
      <c r="M8" s="60">
        <v>39750</v>
      </c>
      <c r="N8" s="60">
        <v>39050</v>
      </c>
      <c r="O8" s="60">
        <v>38077.03</v>
      </c>
      <c r="P8" s="60">
        <v>37093</v>
      </c>
      <c r="Q8" s="60">
        <v>36079</v>
      </c>
      <c r="R8" s="60">
        <v>35086</v>
      </c>
      <c r="S8" s="60">
        <v>33871</v>
      </c>
      <c r="T8" s="60">
        <v>33196</v>
      </c>
      <c r="U8" s="60">
        <v>33304.83</v>
      </c>
      <c r="V8" s="60">
        <v>33483.43</v>
      </c>
      <c r="W8" s="60">
        <v>33810.65</v>
      </c>
      <c r="X8" s="60">
        <v>34486.9</v>
      </c>
      <c r="Y8" s="60">
        <v>34910.566666666666</v>
      </c>
      <c r="Z8" s="60">
        <v>35388.35</v>
      </c>
      <c r="AA8" s="60">
        <v>35535.019999999997</v>
      </c>
      <c r="AB8" s="60">
        <v>36066.44</v>
      </c>
    </row>
    <row r="9" spans="1:28" ht="13.5">
      <c r="A9" s="168"/>
      <c r="B9" s="12"/>
      <c r="C9" s="12" t="s">
        <v>4</v>
      </c>
      <c r="D9" s="12"/>
      <c r="E9" s="12"/>
      <c r="F9" s="56">
        <v>18685</v>
      </c>
      <c r="G9" s="56">
        <v>18687</v>
      </c>
      <c r="H9" s="56">
        <v>17693</v>
      </c>
      <c r="I9" s="56">
        <v>17065</v>
      </c>
      <c r="J9" s="56">
        <v>16235</v>
      </c>
      <c r="K9" s="56">
        <v>15545</v>
      </c>
      <c r="L9" s="56">
        <v>15077</v>
      </c>
      <c r="M9" s="56">
        <v>14980</v>
      </c>
      <c r="N9" s="56">
        <v>14373</v>
      </c>
      <c r="O9" s="56">
        <v>13700.43</v>
      </c>
      <c r="P9" s="56">
        <v>12923</v>
      </c>
      <c r="Q9" s="56">
        <v>11989</v>
      </c>
      <c r="R9" s="56">
        <v>11075</v>
      </c>
      <c r="S9" s="56">
        <v>10100</v>
      </c>
      <c r="T9" s="56">
        <v>9378</v>
      </c>
      <c r="U9" s="56">
        <v>8270.41</v>
      </c>
      <c r="V9" s="56">
        <v>8117.51</v>
      </c>
      <c r="W9" s="56">
        <v>8057.28</v>
      </c>
      <c r="X9" s="56">
        <v>10006.74</v>
      </c>
      <c r="Y9" s="56">
        <v>10072.209999999999</v>
      </c>
      <c r="Z9" s="56">
        <v>10195.720000000001</v>
      </c>
      <c r="AA9" s="56">
        <v>10237.42</v>
      </c>
      <c r="AB9" s="56">
        <v>9678.07</v>
      </c>
    </row>
    <row r="10" spans="1:28" ht="13.5">
      <c r="A10" s="168"/>
      <c r="B10" s="13"/>
      <c r="C10" s="13" t="s">
        <v>5</v>
      </c>
      <c r="D10" s="13"/>
      <c r="E10" s="13"/>
      <c r="F10" s="56">
        <v>21471</v>
      </c>
      <c r="G10" s="56">
        <v>21875</v>
      </c>
      <c r="H10" s="56">
        <v>22762</v>
      </c>
      <c r="I10" s="56">
        <v>22914</v>
      </c>
      <c r="J10" s="56">
        <v>23345</v>
      </c>
      <c r="K10" s="56">
        <v>23636</v>
      </c>
      <c r="L10" s="56">
        <v>23819</v>
      </c>
      <c r="M10" s="56">
        <v>24770</v>
      </c>
      <c r="N10" s="56">
        <v>24677</v>
      </c>
      <c r="O10" s="56">
        <v>24376.6</v>
      </c>
      <c r="P10" s="56">
        <v>24170</v>
      </c>
      <c r="Q10" s="56">
        <v>24090</v>
      </c>
      <c r="R10" s="56">
        <v>24011</v>
      </c>
      <c r="S10" s="56">
        <v>23771</v>
      </c>
      <c r="T10" s="56">
        <v>23818</v>
      </c>
      <c r="U10" s="56">
        <v>25034.42</v>
      </c>
      <c r="V10" s="56">
        <v>25365.919999999998</v>
      </c>
      <c r="W10" s="56">
        <v>25753.370000000003</v>
      </c>
      <c r="X10" s="56">
        <v>24480.16</v>
      </c>
      <c r="Y10" s="56">
        <v>24838.35666666667</v>
      </c>
      <c r="Z10" s="56">
        <v>25192.629999999997</v>
      </c>
      <c r="AA10" s="56">
        <v>25297.599999999999</v>
      </c>
      <c r="AB10" s="56">
        <v>26388.370000000003</v>
      </c>
    </row>
    <row r="11" spans="1:28" ht="13.5" hidden="1">
      <c r="A11" s="168"/>
      <c r="B11" s="13"/>
      <c r="C11" s="13"/>
      <c r="D11" s="13"/>
      <c r="E11" s="13"/>
      <c r="F11" s="56"/>
      <c r="G11" s="56"/>
      <c r="H11" s="56"/>
      <c r="I11" s="56"/>
      <c r="J11" s="141"/>
      <c r="K11" s="141"/>
      <c r="L11" s="141"/>
      <c r="M11" s="141"/>
      <c r="N11" s="141"/>
      <c r="O11" s="141"/>
      <c r="P11" s="141"/>
      <c r="Q11" s="141"/>
      <c r="R11" s="141"/>
      <c r="S11" s="141"/>
      <c r="T11" s="56"/>
      <c r="U11" s="56"/>
      <c r="V11" s="56"/>
      <c r="W11" s="56"/>
      <c r="X11" s="56"/>
      <c r="Y11" s="56"/>
      <c r="Z11" s="56"/>
      <c r="AA11" s="56"/>
      <c r="AB11" s="63"/>
    </row>
    <row r="12" spans="1:28" ht="13.5">
      <c r="A12" s="168"/>
      <c r="B12" s="11" t="s">
        <v>6</v>
      </c>
      <c r="C12" s="11"/>
      <c r="D12" s="11"/>
      <c r="E12" s="11"/>
      <c r="F12" s="60">
        <v>4480</v>
      </c>
      <c r="G12" s="60">
        <v>4399</v>
      </c>
      <c r="H12" s="60">
        <v>3959</v>
      </c>
      <c r="I12" s="60">
        <v>2713</v>
      </c>
      <c r="J12" s="60">
        <v>2634</v>
      </c>
      <c r="K12" s="60">
        <v>2536</v>
      </c>
      <c r="L12" s="60">
        <v>2578</v>
      </c>
      <c r="M12" s="60">
        <v>2591</v>
      </c>
      <c r="N12" s="60">
        <v>2591</v>
      </c>
      <c r="O12" s="60">
        <v>2513</v>
      </c>
      <c r="P12" s="60">
        <v>2471</v>
      </c>
      <c r="Q12" s="60">
        <v>2434</v>
      </c>
      <c r="R12" s="60">
        <v>2325</v>
      </c>
      <c r="S12" s="60">
        <v>2313</v>
      </c>
      <c r="T12" s="60">
        <v>2322</v>
      </c>
      <c r="U12" s="60">
        <v>2346</v>
      </c>
      <c r="V12" s="60">
        <v>2257</v>
      </c>
      <c r="W12" s="60">
        <v>2273</v>
      </c>
      <c r="X12" s="60">
        <v>2271</v>
      </c>
      <c r="Y12" s="60">
        <v>2316</v>
      </c>
      <c r="Z12" s="60">
        <v>2339</v>
      </c>
      <c r="AA12" s="60">
        <v>2396</v>
      </c>
      <c r="AB12" s="60">
        <v>2373</v>
      </c>
    </row>
    <row r="13" spans="1:28" ht="13.5">
      <c r="A13" s="168"/>
      <c r="B13" s="12"/>
      <c r="C13" s="12" t="s">
        <v>7</v>
      </c>
      <c r="D13" s="12"/>
      <c r="E13" s="12"/>
      <c r="F13" s="56">
        <v>1112</v>
      </c>
      <c r="G13" s="56">
        <v>1110</v>
      </c>
      <c r="H13" s="56">
        <v>1047</v>
      </c>
      <c r="I13" s="56">
        <v>384</v>
      </c>
      <c r="J13" s="56">
        <v>383</v>
      </c>
      <c r="K13" s="56">
        <v>445</v>
      </c>
      <c r="L13" s="56">
        <v>441</v>
      </c>
      <c r="M13" s="56">
        <v>479</v>
      </c>
      <c r="N13" s="56">
        <v>501</v>
      </c>
      <c r="O13" s="56">
        <v>539</v>
      </c>
      <c r="P13" s="56">
        <v>549</v>
      </c>
      <c r="Q13" s="56">
        <v>566</v>
      </c>
      <c r="R13" s="56">
        <v>551</v>
      </c>
      <c r="S13" s="56">
        <v>548</v>
      </c>
      <c r="T13" s="56">
        <v>566</v>
      </c>
      <c r="U13" s="56">
        <v>577</v>
      </c>
      <c r="V13" s="56">
        <v>478</v>
      </c>
      <c r="W13" s="56">
        <v>497</v>
      </c>
      <c r="X13" s="56">
        <v>509</v>
      </c>
      <c r="Y13" s="56">
        <v>543</v>
      </c>
      <c r="Z13" s="56">
        <v>554</v>
      </c>
      <c r="AA13" s="56">
        <v>583</v>
      </c>
      <c r="AB13" s="56">
        <v>589</v>
      </c>
    </row>
    <row r="14" spans="1:28" ht="13.5">
      <c r="A14" s="168"/>
      <c r="B14" s="13"/>
      <c r="C14" s="13" t="s">
        <v>8</v>
      </c>
      <c r="D14" s="13"/>
      <c r="E14" s="13"/>
      <c r="F14" s="56">
        <v>3368</v>
      </c>
      <c r="G14" s="56">
        <v>3289</v>
      </c>
      <c r="H14" s="56">
        <v>2912</v>
      </c>
      <c r="I14" s="56">
        <v>2329</v>
      </c>
      <c r="J14" s="56">
        <v>2251</v>
      </c>
      <c r="K14" s="56">
        <v>2091</v>
      </c>
      <c r="L14" s="56">
        <v>2137</v>
      </c>
      <c r="M14" s="56">
        <v>2112</v>
      </c>
      <c r="N14" s="56">
        <v>2090</v>
      </c>
      <c r="O14" s="56">
        <v>1974</v>
      </c>
      <c r="P14" s="56">
        <v>1922</v>
      </c>
      <c r="Q14" s="56">
        <v>1868</v>
      </c>
      <c r="R14" s="56">
        <v>1774</v>
      </c>
      <c r="S14" s="56">
        <v>1765</v>
      </c>
      <c r="T14" s="56">
        <v>1756</v>
      </c>
      <c r="U14" s="56">
        <v>1769</v>
      </c>
      <c r="V14" s="56">
        <v>1779</v>
      </c>
      <c r="W14" s="56">
        <v>1776</v>
      </c>
      <c r="X14" s="56">
        <v>1762</v>
      </c>
      <c r="Y14" s="56">
        <v>1773</v>
      </c>
      <c r="Z14" s="56">
        <v>1785</v>
      </c>
      <c r="AA14" s="56">
        <v>1813</v>
      </c>
      <c r="AB14" s="56">
        <v>1784</v>
      </c>
    </row>
    <row r="15" spans="1:28" ht="13.5">
      <c r="A15" s="168"/>
      <c r="B15" s="11" t="s">
        <v>123</v>
      </c>
      <c r="C15" s="11"/>
      <c r="D15" s="11"/>
      <c r="E15" s="11"/>
      <c r="F15" s="60">
        <v>144483</v>
      </c>
      <c r="G15" s="60">
        <v>144515</v>
      </c>
      <c r="H15" s="60">
        <v>144707</v>
      </c>
      <c r="I15" s="60">
        <v>145325</v>
      </c>
      <c r="J15" s="60">
        <v>144401</v>
      </c>
      <c r="K15" s="60">
        <v>142095</v>
      </c>
      <c r="L15" s="60">
        <v>139617</v>
      </c>
      <c r="M15" s="60">
        <v>137363</v>
      </c>
      <c r="N15" s="60">
        <v>135948</v>
      </c>
      <c r="O15" s="60">
        <v>134911.87999999998</v>
      </c>
      <c r="P15" s="60">
        <v>134083</v>
      </c>
      <c r="Q15" s="60">
        <v>133767</v>
      </c>
      <c r="R15" s="60">
        <v>134659</v>
      </c>
      <c r="S15" s="60">
        <v>135316</v>
      </c>
      <c r="T15" s="60">
        <v>137757</v>
      </c>
      <c r="U15" s="60">
        <v>138469.6</v>
      </c>
      <c r="V15" s="60">
        <v>138993.00434326925</v>
      </c>
      <c r="W15" s="60">
        <v>139929.86233764581</v>
      </c>
      <c r="X15" s="60">
        <v>140984.12879347746</v>
      </c>
      <c r="Y15" s="60">
        <v>142739.63603840655</v>
      </c>
      <c r="Z15" s="60">
        <v>146799.82</v>
      </c>
      <c r="AA15" s="60">
        <v>150761.52000000002</v>
      </c>
      <c r="AB15" s="60">
        <v>153679.98000000001</v>
      </c>
    </row>
    <row r="16" spans="1:28" ht="13.5">
      <c r="A16" s="168"/>
      <c r="B16" s="12"/>
      <c r="C16" s="12" t="s">
        <v>9</v>
      </c>
      <c r="D16" s="12"/>
      <c r="E16" s="12"/>
      <c r="F16" s="56">
        <v>142874</v>
      </c>
      <c r="G16" s="56">
        <v>142895</v>
      </c>
      <c r="H16" s="56">
        <v>143092</v>
      </c>
      <c r="I16" s="56">
        <v>143985</v>
      </c>
      <c r="J16" s="56">
        <v>143023</v>
      </c>
      <c r="K16" s="56">
        <v>140678</v>
      </c>
      <c r="L16" s="56">
        <v>138201</v>
      </c>
      <c r="M16" s="56">
        <v>135830</v>
      </c>
      <c r="N16" s="56">
        <v>134339</v>
      </c>
      <c r="O16" s="56">
        <v>133141.04999999999</v>
      </c>
      <c r="P16" s="56">
        <v>131922</v>
      </c>
      <c r="Q16" s="56">
        <v>130872</v>
      </c>
      <c r="R16" s="56">
        <v>130938</v>
      </c>
      <c r="S16" s="56">
        <v>130983</v>
      </c>
      <c r="T16" s="56">
        <v>133081</v>
      </c>
      <c r="U16" s="56">
        <v>133674.41</v>
      </c>
      <c r="V16" s="56">
        <v>134122.09434326924</v>
      </c>
      <c r="W16" s="56">
        <v>135237.81233764582</v>
      </c>
      <c r="X16" s="56">
        <v>136234.32879347747</v>
      </c>
      <c r="Y16" s="56">
        <v>137928.72603840654</v>
      </c>
      <c r="Z16" s="56">
        <v>141885.21</v>
      </c>
      <c r="AA16" s="56">
        <v>145681.83000000002</v>
      </c>
      <c r="AB16" s="56">
        <v>148468.03</v>
      </c>
    </row>
    <row r="17" spans="1:28" ht="13.5">
      <c r="A17" s="168"/>
      <c r="B17" s="12"/>
      <c r="C17" s="12" t="s">
        <v>187</v>
      </c>
      <c r="D17" s="12"/>
      <c r="E17" s="12"/>
      <c r="F17" s="56">
        <v>793</v>
      </c>
      <c r="G17" s="56">
        <v>788</v>
      </c>
      <c r="H17" s="56">
        <v>777</v>
      </c>
      <c r="I17" s="56">
        <v>474</v>
      </c>
      <c r="J17" s="56">
        <v>481</v>
      </c>
      <c r="K17" s="56">
        <v>484</v>
      </c>
      <c r="L17" s="56">
        <v>472</v>
      </c>
      <c r="M17" s="56">
        <v>562</v>
      </c>
      <c r="N17" s="56">
        <v>638</v>
      </c>
      <c r="O17" s="56">
        <v>786.82999999999993</v>
      </c>
      <c r="P17" s="56">
        <v>1149</v>
      </c>
      <c r="Q17" s="56">
        <v>1887</v>
      </c>
      <c r="R17" s="56">
        <v>2717</v>
      </c>
      <c r="S17" s="56">
        <v>3297</v>
      </c>
      <c r="T17" s="56">
        <v>3622</v>
      </c>
      <c r="U17" s="56">
        <v>3715.19</v>
      </c>
      <c r="V17" s="56">
        <v>3781.91</v>
      </c>
      <c r="W17" s="56">
        <v>3571.05</v>
      </c>
      <c r="X17" s="56">
        <v>3610.8</v>
      </c>
      <c r="Y17" s="56">
        <v>3657.91</v>
      </c>
      <c r="Z17" s="56">
        <v>3768.97</v>
      </c>
      <c r="AA17" s="56">
        <v>3935.13</v>
      </c>
      <c r="AB17" s="56">
        <v>4043.95</v>
      </c>
    </row>
    <row r="18" spans="1:28" ht="13.5">
      <c r="A18" s="168"/>
      <c r="B18" s="13"/>
      <c r="C18" s="13" t="s">
        <v>11</v>
      </c>
      <c r="D18" s="13"/>
      <c r="E18" s="13"/>
      <c r="F18" s="56">
        <v>816</v>
      </c>
      <c r="G18" s="56">
        <v>832</v>
      </c>
      <c r="H18" s="56">
        <v>838</v>
      </c>
      <c r="I18" s="56">
        <v>866</v>
      </c>
      <c r="J18" s="56">
        <v>897</v>
      </c>
      <c r="K18" s="56">
        <v>933</v>
      </c>
      <c r="L18" s="56">
        <v>944</v>
      </c>
      <c r="M18" s="56">
        <v>971</v>
      </c>
      <c r="N18" s="56">
        <v>971</v>
      </c>
      <c r="O18" s="56">
        <v>984</v>
      </c>
      <c r="P18" s="56">
        <v>1012</v>
      </c>
      <c r="Q18" s="56">
        <v>1008</v>
      </c>
      <c r="R18" s="56">
        <v>1004</v>
      </c>
      <c r="S18" s="56">
        <v>1036</v>
      </c>
      <c r="T18" s="56">
        <v>1054</v>
      </c>
      <c r="U18" s="56">
        <v>1080</v>
      </c>
      <c r="V18" s="56">
        <v>1089</v>
      </c>
      <c r="W18" s="56">
        <v>1121</v>
      </c>
      <c r="X18" s="56">
        <v>1139</v>
      </c>
      <c r="Y18" s="56">
        <v>1153</v>
      </c>
      <c r="Z18" s="56">
        <v>1145.6399999999999</v>
      </c>
      <c r="AA18" s="56">
        <v>1144.56</v>
      </c>
      <c r="AB18" s="56">
        <v>1168</v>
      </c>
    </row>
    <row r="19" spans="1:28" ht="13.5">
      <c r="A19" s="168"/>
      <c r="B19" s="11" t="s">
        <v>124</v>
      </c>
      <c r="C19" s="11"/>
      <c r="D19" s="11"/>
      <c r="E19" s="11"/>
      <c r="F19" s="60">
        <v>214976.17391304349</v>
      </c>
      <c r="G19" s="60">
        <v>211440.52173913043</v>
      </c>
      <c r="H19" s="60">
        <v>205899</v>
      </c>
      <c r="I19" s="60">
        <v>199830</v>
      </c>
      <c r="J19" s="60">
        <v>194099</v>
      </c>
      <c r="K19" s="60">
        <v>190142</v>
      </c>
      <c r="L19" s="60">
        <v>184848.1</v>
      </c>
      <c r="M19" s="60">
        <v>182966.65</v>
      </c>
      <c r="N19" s="60">
        <v>180353.7</v>
      </c>
      <c r="O19" s="60">
        <v>180015.09</v>
      </c>
      <c r="P19" s="60">
        <v>178564</v>
      </c>
      <c r="Q19" s="60">
        <v>176214</v>
      </c>
      <c r="R19" s="60">
        <v>174123.6</v>
      </c>
      <c r="S19" s="60">
        <v>173192</v>
      </c>
      <c r="T19" s="60">
        <v>173850</v>
      </c>
      <c r="U19" s="60">
        <v>173542.57</v>
      </c>
      <c r="V19" s="60">
        <v>173469.56565673076</v>
      </c>
      <c r="W19" s="60">
        <v>173563.42099568751</v>
      </c>
      <c r="X19" s="60">
        <v>173933.97120652255</v>
      </c>
      <c r="Y19" s="60">
        <v>174362.96396159343</v>
      </c>
      <c r="Z19" s="60">
        <v>179442.75999999998</v>
      </c>
      <c r="AA19" s="60">
        <v>183198.28999999998</v>
      </c>
      <c r="AB19" s="60">
        <v>184393.99</v>
      </c>
    </row>
    <row r="20" spans="1:28" ht="13.5">
      <c r="A20" s="168"/>
      <c r="B20" s="12"/>
      <c r="C20" s="12" t="s">
        <v>12</v>
      </c>
      <c r="D20" s="12"/>
      <c r="E20" s="12"/>
      <c r="F20" s="56">
        <v>14926</v>
      </c>
      <c r="G20" s="56">
        <v>12131</v>
      </c>
      <c r="H20" s="56">
        <v>4969</v>
      </c>
      <c r="I20" s="56">
        <v>4632</v>
      </c>
      <c r="J20" s="56">
        <v>4500</v>
      </c>
      <c r="K20" s="56">
        <v>4574</v>
      </c>
      <c r="L20" s="56">
        <v>4724</v>
      </c>
      <c r="M20" s="56">
        <v>5049</v>
      </c>
      <c r="N20" s="56">
        <v>5120</v>
      </c>
      <c r="O20" s="56">
        <v>4709.83</v>
      </c>
      <c r="P20" s="56">
        <v>4581</v>
      </c>
      <c r="Q20" s="56">
        <v>4610</v>
      </c>
      <c r="R20" s="56">
        <v>4702</v>
      </c>
      <c r="S20" s="56">
        <v>4765</v>
      </c>
      <c r="T20" s="56">
        <v>4943</v>
      </c>
      <c r="U20" s="56">
        <v>5038.25</v>
      </c>
      <c r="V20" s="56">
        <v>5157.03</v>
      </c>
      <c r="W20" s="56">
        <v>5254.14</v>
      </c>
      <c r="X20" s="56">
        <v>5294.28</v>
      </c>
      <c r="Y20" s="56">
        <v>5346.63</v>
      </c>
      <c r="Z20" s="56">
        <v>5468.63</v>
      </c>
      <c r="AA20" s="56">
        <v>5586.04</v>
      </c>
      <c r="AB20" s="56">
        <v>5733.46</v>
      </c>
    </row>
    <row r="21" spans="1:28" ht="13.5">
      <c r="A21" s="168"/>
      <c r="B21" s="12"/>
      <c r="C21" s="12" t="s">
        <v>13</v>
      </c>
      <c r="D21" s="12"/>
      <c r="E21" s="12"/>
      <c r="F21" s="56">
        <v>50872</v>
      </c>
      <c r="G21" s="56">
        <v>50202</v>
      </c>
      <c r="H21" s="56">
        <v>50756</v>
      </c>
      <c r="I21" s="56">
        <v>48438</v>
      </c>
      <c r="J21" s="56">
        <v>45844</v>
      </c>
      <c r="K21" s="56">
        <v>43165</v>
      </c>
      <c r="L21" s="56">
        <v>40659</v>
      </c>
      <c r="M21" s="56">
        <v>38275</v>
      </c>
      <c r="N21" s="56">
        <v>35385</v>
      </c>
      <c r="O21" s="56">
        <v>33152</v>
      </c>
      <c r="P21" s="56">
        <v>30726</v>
      </c>
      <c r="Q21" s="56">
        <v>28114</v>
      </c>
      <c r="R21" s="56">
        <v>25886</v>
      </c>
      <c r="S21" s="56">
        <v>24035</v>
      </c>
      <c r="T21" s="56">
        <v>22373</v>
      </c>
      <c r="U21" s="56">
        <v>20318</v>
      </c>
      <c r="V21" s="56">
        <v>18992.765656730757</v>
      </c>
      <c r="W21" s="56">
        <v>18143.770995687511</v>
      </c>
      <c r="X21" s="56">
        <v>17666.131206522532</v>
      </c>
      <c r="Y21" s="56">
        <v>17221.673961593428</v>
      </c>
      <c r="Z21" s="56">
        <v>17693</v>
      </c>
      <c r="AA21" s="56">
        <v>17603</v>
      </c>
      <c r="AB21" s="56">
        <v>7397</v>
      </c>
    </row>
    <row r="22" spans="1:28" ht="13.5">
      <c r="A22" s="168"/>
      <c r="B22" s="12"/>
      <c r="C22" s="12" t="s">
        <v>188</v>
      </c>
      <c r="D22" s="12"/>
      <c r="E22" s="12"/>
      <c r="F22" s="56">
        <v>19939</v>
      </c>
      <c r="G22" s="56">
        <v>19781</v>
      </c>
      <c r="H22" s="56">
        <v>17332</v>
      </c>
      <c r="I22" s="56">
        <v>16124</v>
      </c>
      <c r="J22" s="56">
        <v>14963</v>
      </c>
      <c r="K22" s="56">
        <v>14562</v>
      </c>
      <c r="L22" s="56">
        <v>14793</v>
      </c>
      <c r="M22" s="56">
        <v>15966</v>
      </c>
      <c r="N22" s="56">
        <v>17702</v>
      </c>
      <c r="O22" s="56">
        <v>18833.8</v>
      </c>
      <c r="P22" s="56">
        <v>20021</v>
      </c>
      <c r="Q22" s="56">
        <v>21068</v>
      </c>
      <c r="R22" s="56">
        <v>21903</v>
      </c>
      <c r="S22" s="56">
        <v>22798</v>
      </c>
      <c r="T22" s="56">
        <v>23750</v>
      </c>
      <c r="U22" s="56">
        <v>23906.83</v>
      </c>
      <c r="V22" s="56">
        <v>24079.62</v>
      </c>
      <c r="W22" s="56">
        <v>24249.260000000002</v>
      </c>
      <c r="X22" s="56">
        <v>24402.79</v>
      </c>
      <c r="Y22" s="56">
        <v>24397.53</v>
      </c>
      <c r="Z22" s="56">
        <v>24618.489999999998</v>
      </c>
      <c r="AA22" s="56">
        <v>24893.55</v>
      </c>
      <c r="AB22" s="56">
        <v>33144.07</v>
      </c>
    </row>
    <row r="23" spans="1:28" ht="13.5">
      <c r="A23" s="168"/>
      <c r="B23" s="12"/>
      <c r="C23" s="12" t="s">
        <v>15</v>
      </c>
      <c r="D23" s="12"/>
      <c r="E23" s="12"/>
      <c r="F23" s="56">
        <v>47927</v>
      </c>
      <c r="G23" s="56">
        <v>48272</v>
      </c>
      <c r="H23" s="56">
        <v>50364</v>
      </c>
      <c r="I23" s="56">
        <v>49405</v>
      </c>
      <c r="J23" s="56">
        <v>48401</v>
      </c>
      <c r="K23" s="56">
        <v>47589</v>
      </c>
      <c r="L23" s="56">
        <v>47079</v>
      </c>
      <c r="M23" s="56">
        <v>45907</v>
      </c>
      <c r="N23" s="56">
        <v>44211</v>
      </c>
      <c r="O23" s="56">
        <v>43247</v>
      </c>
      <c r="P23" s="56">
        <v>41610</v>
      </c>
      <c r="Q23" s="56">
        <v>39395</v>
      </c>
      <c r="R23" s="56">
        <v>37175</v>
      </c>
      <c r="S23" s="56">
        <v>35365</v>
      </c>
      <c r="T23" s="56">
        <v>33670</v>
      </c>
      <c r="U23" s="56">
        <v>32274</v>
      </c>
      <c r="V23" s="56">
        <v>31564</v>
      </c>
      <c r="W23" s="56">
        <v>31072</v>
      </c>
      <c r="X23" s="56">
        <v>30813</v>
      </c>
      <c r="Y23" s="56">
        <v>30649</v>
      </c>
      <c r="Z23" s="56">
        <v>30896</v>
      </c>
      <c r="AA23" s="56">
        <v>31015</v>
      </c>
      <c r="AB23" s="56">
        <v>30998</v>
      </c>
    </row>
    <row r="24" spans="1:28" ht="13.5">
      <c r="A24" s="168"/>
      <c r="B24" s="12"/>
      <c r="C24" s="12" t="s">
        <v>16</v>
      </c>
      <c r="D24" s="12"/>
      <c r="E24" s="12"/>
      <c r="F24" s="56">
        <v>61224</v>
      </c>
      <c r="G24" s="56"/>
      <c r="H24" s="56">
        <v>62974</v>
      </c>
      <c r="I24" s="56">
        <v>62434</v>
      </c>
      <c r="J24" s="56">
        <v>62080</v>
      </c>
      <c r="K24" s="56">
        <v>62127</v>
      </c>
      <c r="L24" s="56">
        <v>59351</v>
      </c>
      <c r="M24" s="56">
        <v>58442</v>
      </c>
      <c r="N24" s="56">
        <v>56602</v>
      </c>
      <c r="O24" s="56">
        <v>56958</v>
      </c>
      <c r="P24" s="56">
        <v>56656</v>
      </c>
      <c r="Q24" s="56">
        <v>55872</v>
      </c>
      <c r="R24" s="56">
        <v>55209</v>
      </c>
      <c r="S24" s="56">
        <v>54879</v>
      </c>
      <c r="T24" s="56">
        <v>55177</v>
      </c>
      <c r="U24" s="56">
        <v>56251</v>
      </c>
      <c r="V24" s="56">
        <v>56604</v>
      </c>
      <c r="W24" s="56">
        <v>56832</v>
      </c>
      <c r="X24" s="56">
        <v>57066</v>
      </c>
      <c r="Y24" s="56">
        <v>57540</v>
      </c>
      <c r="Z24" s="56">
        <v>60592.93</v>
      </c>
      <c r="AA24" s="56">
        <v>63234.83</v>
      </c>
      <c r="AB24" s="56">
        <v>63385.21</v>
      </c>
    </row>
    <row r="25" spans="1:28" ht="13.5">
      <c r="A25" s="168"/>
      <c r="B25" s="12"/>
      <c r="C25" s="12" t="s">
        <v>187</v>
      </c>
      <c r="D25" s="12"/>
      <c r="E25" s="12"/>
      <c r="F25" s="56">
        <v>17919</v>
      </c>
      <c r="G25" s="56">
        <v>17619</v>
      </c>
      <c r="H25" s="56">
        <v>17185</v>
      </c>
      <c r="I25" s="56">
        <v>16452</v>
      </c>
      <c r="J25" s="56">
        <v>15946</v>
      </c>
      <c r="K25" s="56">
        <v>15677</v>
      </c>
      <c r="L25" s="56">
        <v>15772</v>
      </c>
      <c r="M25" s="56">
        <v>16785</v>
      </c>
      <c r="N25" s="56">
        <v>18754</v>
      </c>
      <c r="O25" s="56">
        <v>20504.46</v>
      </c>
      <c r="P25" s="56">
        <v>22340</v>
      </c>
      <c r="Q25" s="56">
        <v>24543</v>
      </c>
      <c r="R25" s="56">
        <v>26652</v>
      </c>
      <c r="S25" s="56">
        <v>28757</v>
      </c>
      <c r="T25" s="56">
        <v>31369</v>
      </c>
      <c r="U25" s="56">
        <v>33234.49</v>
      </c>
      <c r="V25" s="56">
        <v>34568.15</v>
      </c>
      <c r="W25" s="56">
        <v>35528.25</v>
      </c>
      <c r="X25" s="56">
        <v>36207.770000000004</v>
      </c>
      <c r="Y25" s="56">
        <v>36760.129999999997</v>
      </c>
      <c r="Z25" s="56">
        <v>37758.35</v>
      </c>
      <c r="AA25" s="56">
        <v>38434.43</v>
      </c>
      <c r="AB25" s="56">
        <v>41291.050000000003</v>
      </c>
    </row>
    <row r="26" spans="1:28" ht="13.5">
      <c r="A26" s="168"/>
      <c r="B26" s="12"/>
      <c r="C26" s="12" t="s">
        <v>11</v>
      </c>
      <c r="D26" s="12"/>
      <c r="E26" s="12"/>
      <c r="F26" s="56">
        <v>1342</v>
      </c>
      <c r="G26" s="56">
        <v>1372</v>
      </c>
      <c r="H26" s="56">
        <v>1383</v>
      </c>
      <c r="I26" s="56">
        <v>1385</v>
      </c>
      <c r="J26" s="56">
        <v>1418</v>
      </c>
      <c r="K26" s="56">
        <v>1437</v>
      </c>
      <c r="L26" s="56">
        <v>1472</v>
      </c>
      <c r="M26" s="56">
        <v>1530</v>
      </c>
      <c r="N26" s="56">
        <v>1570</v>
      </c>
      <c r="O26" s="56">
        <v>1629</v>
      </c>
      <c r="P26" s="56">
        <v>1662</v>
      </c>
      <c r="Q26" s="56">
        <v>1652</v>
      </c>
      <c r="R26" s="56">
        <v>1649</v>
      </c>
      <c r="S26" s="56">
        <v>1668</v>
      </c>
      <c r="T26" s="56">
        <v>1669</v>
      </c>
      <c r="U26" s="56">
        <v>1668</v>
      </c>
      <c r="V26" s="56">
        <v>1678</v>
      </c>
      <c r="W26" s="56">
        <v>1687</v>
      </c>
      <c r="X26" s="56">
        <v>1713</v>
      </c>
      <c r="Y26" s="56">
        <v>1729</v>
      </c>
      <c r="Z26" s="56">
        <v>1747.3600000000001</v>
      </c>
      <c r="AA26" s="56">
        <v>1752.44</v>
      </c>
      <c r="AB26" s="56">
        <v>1762.2</v>
      </c>
    </row>
    <row r="27" spans="1:28" ht="13.5">
      <c r="A27" s="168"/>
      <c r="B27" s="12"/>
      <c r="C27" s="12" t="s">
        <v>17</v>
      </c>
      <c r="D27" s="12"/>
      <c r="E27" s="12"/>
      <c r="F27" s="56">
        <v>64</v>
      </c>
      <c r="G27" s="56">
        <v>66</v>
      </c>
      <c r="H27" s="56">
        <v>76</v>
      </c>
      <c r="I27" s="56">
        <v>69</v>
      </c>
      <c r="J27" s="56">
        <v>59</v>
      </c>
      <c r="K27" s="56">
        <v>61</v>
      </c>
      <c r="L27" s="56">
        <v>56</v>
      </c>
      <c r="M27" s="56">
        <v>57</v>
      </c>
      <c r="N27" s="56">
        <v>56</v>
      </c>
      <c r="O27" s="56">
        <v>53</v>
      </c>
      <c r="P27" s="56">
        <v>63</v>
      </c>
      <c r="Q27" s="56">
        <v>52</v>
      </c>
      <c r="R27" s="56">
        <v>52</v>
      </c>
      <c r="S27" s="56">
        <v>48</v>
      </c>
      <c r="T27" s="56">
        <v>64</v>
      </c>
      <c r="U27" s="56">
        <v>55</v>
      </c>
      <c r="V27" s="56">
        <v>55</v>
      </c>
      <c r="W27" s="56">
        <v>51</v>
      </c>
      <c r="X27" s="56">
        <v>48</v>
      </c>
      <c r="Y27" s="56">
        <v>41</v>
      </c>
      <c r="Z27" s="56">
        <v>44</v>
      </c>
      <c r="AA27" s="56">
        <v>46</v>
      </c>
      <c r="AB27" s="56">
        <v>45</v>
      </c>
    </row>
    <row r="28" spans="1:28" ht="13.5">
      <c r="A28" s="168"/>
      <c r="B28" s="13"/>
      <c r="C28" s="13" t="s">
        <v>18</v>
      </c>
      <c r="D28" s="13"/>
      <c r="E28" s="13"/>
      <c r="F28" s="56">
        <v>763.17391304347825</v>
      </c>
      <c r="G28" s="56">
        <v>807.52173913043475</v>
      </c>
      <c r="H28" s="56">
        <v>860</v>
      </c>
      <c r="I28" s="56">
        <v>891</v>
      </c>
      <c r="J28" s="56">
        <v>888</v>
      </c>
      <c r="K28" s="56">
        <v>950</v>
      </c>
      <c r="L28" s="56">
        <v>942.1</v>
      </c>
      <c r="M28" s="56">
        <v>955.65</v>
      </c>
      <c r="N28" s="56">
        <v>953.7</v>
      </c>
      <c r="O28" s="56">
        <v>928</v>
      </c>
      <c r="P28" s="56">
        <v>905</v>
      </c>
      <c r="Q28" s="56">
        <v>908</v>
      </c>
      <c r="R28" s="56">
        <v>895.6</v>
      </c>
      <c r="S28" s="56">
        <v>877</v>
      </c>
      <c r="T28" s="56">
        <v>835</v>
      </c>
      <c r="U28" s="56">
        <v>797</v>
      </c>
      <c r="V28" s="56">
        <v>771</v>
      </c>
      <c r="W28" s="56">
        <v>746</v>
      </c>
      <c r="X28" s="56">
        <v>723</v>
      </c>
      <c r="Y28" s="56">
        <v>678</v>
      </c>
      <c r="Z28" s="56">
        <v>624</v>
      </c>
      <c r="AA28" s="56">
        <v>633</v>
      </c>
      <c r="AB28" s="56">
        <v>638</v>
      </c>
    </row>
    <row r="29" spans="1:28" ht="13.5">
      <c r="A29" s="168"/>
      <c r="B29" s="9" t="s">
        <v>125</v>
      </c>
      <c r="C29" s="9"/>
      <c r="D29" s="9"/>
      <c r="E29" s="9"/>
      <c r="F29" s="49" t="s">
        <v>55</v>
      </c>
      <c r="G29" s="49" t="s">
        <v>55</v>
      </c>
      <c r="H29" s="49" t="s">
        <v>55</v>
      </c>
      <c r="I29" s="49" t="s">
        <v>55</v>
      </c>
      <c r="J29" s="49" t="s">
        <v>55</v>
      </c>
      <c r="K29" s="49" t="s">
        <v>55</v>
      </c>
      <c r="L29" s="49" t="s">
        <v>55</v>
      </c>
      <c r="M29" s="49" t="s">
        <v>55</v>
      </c>
      <c r="N29" s="49" t="s">
        <v>55</v>
      </c>
      <c r="O29" s="49" t="s">
        <v>55</v>
      </c>
      <c r="P29" s="49" t="s">
        <v>55</v>
      </c>
      <c r="Q29" s="49" t="s">
        <v>55</v>
      </c>
      <c r="R29" s="49" t="s">
        <v>55</v>
      </c>
      <c r="S29" s="49" t="s">
        <v>55</v>
      </c>
      <c r="T29" s="49" t="s">
        <v>55</v>
      </c>
      <c r="U29" s="49" t="s">
        <v>55</v>
      </c>
      <c r="V29" s="49" t="s">
        <v>55</v>
      </c>
      <c r="W29" s="49" t="s">
        <v>55</v>
      </c>
      <c r="X29" s="49" t="s">
        <v>55</v>
      </c>
      <c r="Y29" s="49" t="s">
        <v>55</v>
      </c>
      <c r="Z29" s="49" t="s">
        <v>55</v>
      </c>
      <c r="AA29" s="49" t="s">
        <v>55</v>
      </c>
      <c r="AB29" s="49" t="s">
        <v>55</v>
      </c>
    </row>
    <row r="30" spans="1:28" ht="13.5">
      <c r="A30" s="168"/>
      <c r="B30" s="11" t="s">
        <v>127</v>
      </c>
      <c r="C30" s="11"/>
      <c r="D30" s="11"/>
      <c r="E30" s="11"/>
      <c r="F30" s="80" t="s">
        <v>55</v>
      </c>
      <c r="G30" s="80" t="s">
        <v>55</v>
      </c>
      <c r="H30" s="80" t="s">
        <v>55</v>
      </c>
      <c r="I30" s="80" t="s">
        <v>55</v>
      </c>
      <c r="J30" s="80" t="s">
        <v>55</v>
      </c>
      <c r="K30" s="80" t="s">
        <v>55</v>
      </c>
      <c r="L30" s="80" t="s">
        <v>55</v>
      </c>
      <c r="M30" s="80" t="s">
        <v>55</v>
      </c>
      <c r="N30" s="80" t="s">
        <v>55</v>
      </c>
      <c r="O30" s="80" t="s">
        <v>55</v>
      </c>
      <c r="P30" s="80" t="s">
        <v>55</v>
      </c>
      <c r="Q30" s="80" t="s">
        <v>55</v>
      </c>
      <c r="R30" s="80" t="s">
        <v>55</v>
      </c>
      <c r="S30" s="80" t="s">
        <v>55</v>
      </c>
      <c r="T30" s="80" t="s">
        <v>55</v>
      </c>
      <c r="U30" s="80" t="s">
        <v>55</v>
      </c>
      <c r="V30" s="80" t="s">
        <v>55</v>
      </c>
      <c r="W30" s="80" t="s">
        <v>55</v>
      </c>
      <c r="X30" s="80" t="s">
        <v>55</v>
      </c>
      <c r="Y30" s="80" t="s">
        <v>55</v>
      </c>
      <c r="Z30" s="80" t="s">
        <v>55</v>
      </c>
      <c r="AA30" s="80" t="s">
        <v>55</v>
      </c>
      <c r="AB30" s="80" t="s">
        <v>55</v>
      </c>
    </row>
    <row r="31" spans="1:28" ht="13.5">
      <c r="A31" s="168"/>
      <c r="B31" s="12"/>
      <c r="C31" s="12" t="s">
        <v>16</v>
      </c>
      <c r="D31" s="12"/>
      <c r="E31" s="12"/>
      <c r="F31" s="50" t="s">
        <v>55</v>
      </c>
      <c r="G31" s="50" t="s">
        <v>55</v>
      </c>
      <c r="H31" s="50" t="s">
        <v>55</v>
      </c>
      <c r="I31" s="50" t="s">
        <v>55</v>
      </c>
      <c r="J31" s="50" t="s">
        <v>55</v>
      </c>
      <c r="K31" s="50" t="s">
        <v>55</v>
      </c>
      <c r="L31" s="50" t="s">
        <v>55</v>
      </c>
      <c r="M31" s="50" t="s">
        <v>55</v>
      </c>
      <c r="N31" s="50" t="s">
        <v>55</v>
      </c>
      <c r="O31" s="50" t="s">
        <v>55</v>
      </c>
      <c r="P31" s="50" t="s">
        <v>55</v>
      </c>
      <c r="Q31" s="50" t="s">
        <v>55</v>
      </c>
      <c r="R31" s="50" t="s">
        <v>55</v>
      </c>
      <c r="S31" s="50" t="s">
        <v>55</v>
      </c>
      <c r="T31" s="50" t="s">
        <v>55</v>
      </c>
      <c r="U31" s="50" t="s">
        <v>55</v>
      </c>
      <c r="V31" s="50" t="s">
        <v>55</v>
      </c>
      <c r="W31" s="50" t="s">
        <v>55</v>
      </c>
      <c r="X31" s="50" t="s">
        <v>55</v>
      </c>
      <c r="Y31" s="50" t="s">
        <v>55</v>
      </c>
      <c r="Z31" s="50" t="s">
        <v>55</v>
      </c>
      <c r="AA31" s="50" t="s">
        <v>55</v>
      </c>
      <c r="AB31" s="50" t="s">
        <v>55</v>
      </c>
    </row>
    <row r="32" spans="1:28" ht="13.5">
      <c r="A32" s="168"/>
      <c r="B32" s="12"/>
      <c r="C32" s="12" t="s">
        <v>187</v>
      </c>
      <c r="D32" s="12"/>
      <c r="E32" s="12"/>
      <c r="F32" s="50" t="s">
        <v>55</v>
      </c>
      <c r="G32" s="50" t="s">
        <v>55</v>
      </c>
      <c r="H32" s="50" t="s">
        <v>55</v>
      </c>
      <c r="I32" s="50" t="s">
        <v>55</v>
      </c>
      <c r="J32" s="50" t="s">
        <v>55</v>
      </c>
      <c r="K32" s="50" t="s">
        <v>55</v>
      </c>
      <c r="L32" s="50" t="s">
        <v>55</v>
      </c>
      <c r="M32" s="50" t="s">
        <v>55</v>
      </c>
      <c r="N32" s="50" t="s">
        <v>55</v>
      </c>
      <c r="O32" s="50" t="s">
        <v>55</v>
      </c>
      <c r="P32" s="50" t="s">
        <v>55</v>
      </c>
      <c r="Q32" s="50" t="s">
        <v>55</v>
      </c>
      <c r="R32" s="50" t="s">
        <v>55</v>
      </c>
      <c r="S32" s="50" t="s">
        <v>55</v>
      </c>
      <c r="T32" s="50" t="s">
        <v>55</v>
      </c>
      <c r="U32" s="50" t="s">
        <v>55</v>
      </c>
      <c r="V32" s="50" t="s">
        <v>55</v>
      </c>
      <c r="W32" s="50" t="s">
        <v>55</v>
      </c>
      <c r="X32" s="50" t="s">
        <v>55</v>
      </c>
      <c r="Y32" s="50" t="s">
        <v>55</v>
      </c>
      <c r="Z32" s="50" t="s">
        <v>55</v>
      </c>
      <c r="AA32" s="50" t="s">
        <v>55</v>
      </c>
      <c r="AB32" s="50" t="s">
        <v>55</v>
      </c>
    </row>
    <row r="33" spans="1:28" ht="13.5">
      <c r="A33" s="168"/>
      <c r="B33" s="12"/>
      <c r="C33" s="12" t="s">
        <v>11</v>
      </c>
      <c r="D33" s="12"/>
      <c r="E33" s="12"/>
      <c r="F33" s="50" t="s">
        <v>55</v>
      </c>
      <c r="G33" s="50" t="s">
        <v>55</v>
      </c>
      <c r="H33" s="50" t="s">
        <v>55</v>
      </c>
      <c r="I33" s="50" t="s">
        <v>55</v>
      </c>
      <c r="J33" s="50" t="s">
        <v>55</v>
      </c>
      <c r="K33" s="50" t="s">
        <v>55</v>
      </c>
      <c r="L33" s="50" t="s">
        <v>55</v>
      </c>
      <c r="M33" s="50" t="s">
        <v>55</v>
      </c>
      <c r="N33" s="50" t="s">
        <v>55</v>
      </c>
      <c r="O33" s="50" t="s">
        <v>55</v>
      </c>
      <c r="P33" s="50" t="s">
        <v>55</v>
      </c>
      <c r="Q33" s="50" t="s">
        <v>55</v>
      </c>
      <c r="R33" s="50" t="s">
        <v>55</v>
      </c>
      <c r="S33" s="50" t="s">
        <v>55</v>
      </c>
      <c r="T33" s="50" t="s">
        <v>55</v>
      </c>
      <c r="U33" s="50" t="s">
        <v>55</v>
      </c>
      <c r="V33" s="50" t="s">
        <v>55</v>
      </c>
      <c r="W33" s="50" t="s">
        <v>55</v>
      </c>
      <c r="X33" s="50" t="s">
        <v>55</v>
      </c>
      <c r="Y33" s="50" t="s">
        <v>55</v>
      </c>
      <c r="Z33" s="50" t="s">
        <v>55</v>
      </c>
      <c r="AA33" s="50" t="s">
        <v>55</v>
      </c>
      <c r="AB33" s="50" t="s">
        <v>55</v>
      </c>
    </row>
    <row r="34" spans="1:28" ht="13.5">
      <c r="A34" s="168"/>
      <c r="B34" s="12"/>
      <c r="C34" s="12" t="s">
        <v>19</v>
      </c>
      <c r="D34" s="12"/>
      <c r="E34" s="12"/>
      <c r="F34" s="50" t="s">
        <v>55</v>
      </c>
      <c r="G34" s="50" t="s">
        <v>55</v>
      </c>
      <c r="H34" s="50" t="s">
        <v>55</v>
      </c>
      <c r="I34" s="50" t="s">
        <v>55</v>
      </c>
      <c r="J34" s="50" t="s">
        <v>55</v>
      </c>
      <c r="K34" s="50" t="s">
        <v>55</v>
      </c>
      <c r="L34" s="50" t="s">
        <v>55</v>
      </c>
      <c r="M34" s="50" t="s">
        <v>55</v>
      </c>
      <c r="N34" s="50" t="s">
        <v>55</v>
      </c>
      <c r="O34" s="50" t="s">
        <v>55</v>
      </c>
      <c r="P34" s="50" t="s">
        <v>55</v>
      </c>
      <c r="Q34" s="50" t="s">
        <v>55</v>
      </c>
      <c r="R34" s="50" t="s">
        <v>55</v>
      </c>
      <c r="S34" s="50" t="s">
        <v>55</v>
      </c>
      <c r="T34" s="50" t="s">
        <v>55</v>
      </c>
      <c r="U34" s="50" t="s">
        <v>55</v>
      </c>
      <c r="V34" s="50" t="s">
        <v>55</v>
      </c>
      <c r="W34" s="50" t="s">
        <v>55</v>
      </c>
      <c r="X34" s="50" t="s">
        <v>55</v>
      </c>
      <c r="Y34" s="50" t="s">
        <v>55</v>
      </c>
      <c r="Z34" s="50" t="s">
        <v>55</v>
      </c>
      <c r="AA34" s="50" t="s">
        <v>55</v>
      </c>
      <c r="AB34" s="50" t="s">
        <v>55</v>
      </c>
    </row>
    <row r="35" spans="1:28" ht="13.5">
      <c r="A35" s="168"/>
      <c r="B35" s="14"/>
      <c r="C35" s="14" t="s">
        <v>20</v>
      </c>
      <c r="D35" s="14"/>
      <c r="E35" s="14"/>
      <c r="F35" s="50" t="s">
        <v>55</v>
      </c>
      <c r="G35" s="50" t="s">
        <v>55</v>
      </c>
      <c r="H35" s="50" t="s">
        <v>55</v>
      </c>
      <c r="I35" s="50" t="s">
        <v>55</v>
      </c>
      <c r="J35" s="50" t="s">
        <v>55</v>
      </c>
      <c r="K35" s="50" t="s">
        <v>55</v>
      </c>
      <c r="L35" s="50" t="s">
        <v>55</v>
      </c>
      <c r="M35" s="50" t="s">
        <v>55</v>
      </c>
      <c r="N35" s="50" t="s">
        <v>55</v>
      </c>
      <c r="O35" s="50" t="s">
        <v>55</v>
      </c>
      <c r="P35" s="50" t="s">
        <v>55</v>
      </c>
      <c r="Q35" s="50" t="s">
        <v>55</v>
      </c>
      <c r="R35" s="50" t="s">
        <v>55</v>
      </c>
      <c r="S35" s="50" t="s">
        <v>55</v>
      </c>
      <c r="T35" s="50" t="s">
        <v>55</v>
      </c>
      <c r="U35" s="50" t="s">
        <v>55</v>
      </c>
      <c r="V35" s="50" t="s">
        <v>55</v>
      </c>
      <c r="W35" s="50" t="s">
        <v>55</v>
      </c>
      <c r="X35" s="50" t="s">
        <v>55</v>
      </c>
      <c r="Y35" s="50" t="s">
        <v>55</v>
      </c>
      <c r="Z35" s="50" t="s">
        <v>55</v>
      </c>
      <c r="AA35" s="50" t="s">
        <v>55</v>
      </c>
      <c r="AB35" s="50" t="s">
        <v>55</v>
      </c>
    </row>
    <row r="36" spans="1:28" ht="16.5" customHeight="1">
      <c r="A36" s="168"/>
      <c r="B36" s="15"/>
      <c r="C36" s="15"/>
      <c r="D36" s="15"/>
      <c r="E36" s="15"/>
      <c r="F36" s="60"/>
      <c r="G36" s="60"/>
      <c r="H36" s="60"/>
      <c r="I36" s="60"/>
      <c r="J36" s="60"/>
      <c r="K36" s="60"/>
      <c r="L36" s="60"/>
      <c r="M36" s="60"/>
      <c r="N36" s="60"/>
      <c r="O36" s="60"/>
      <c r="P36" s="60"/>
      <c r="Q36" s="60"/>
      <c r="R36" s="60"/>
      <c r="S36" s="60"/>
      <c r="T36" s="60"/>
      <c r="U36" s="60"/>
      <c r="V36" s="60"/>
      <c r="W36" s="60"/>
      <c r="X36" s="60"/>
      <c r="Y36" s="60"/>
      <c r="Z36" s="60"/>
      <c r="AA36" s="60"/>
      <c r="AB36" s="60"/>
    </row>
    <row r="37" spans="1:28" ht="13.5">
      <c r="A37" s="168">
        <v>58</v>
      </c>
      <c r="B37" s="10" t="s">
        <v>128</v>
      </c>
      <c r="C37" s="10"/>
      <c r="D37" s="10"/>
      <c r="E37" s="10"/>
      <c r="F37" s="81" t="s">
        <v>55</v>
      </c>
      <c r="G37" s="81" t="s">
        <v>55</v>
      </c>
      <c r="H37" s="81" t="s">
        <v>55</v>
      </c>
      <c r="I37" s="81" t="s">
        <v>55</v>
      </c>
      <c r="J37" s="81" t="s">
        <v>55</v>
      </c>
      <c r="K37" s="81" t="s">
        <v>55</v>
      </c>
      <c r="L37" s="81" t="s">
        <v>55</v>
      </c>
      <c r="M37" s="81" t="s">
        <v>55</v>
      </c>
      <c r="N37" s="81" t="s">
        <v>55</v>
      </c>
      <c r="O37" s="81" t="s">
        <v>55</v>
      </c>
      <c r="P37" s="81" t="s">
        <v>55</v>
      </c>
      <c r="Q37" s="81" t="s">
        <v>55</v>
      </c>
      <c r="R37" s="81" t="s">
        <v>55</v>
      </c>
      <c r="S37" s="81" t="s">
        <v>55</v>
      </c>
      <c r="T37" s="81" t="s">
        <v>55</v>
      </c>
      <c r="U37" s="81" t="s">
        <v>55</v>
      </c>
      <c r="V37" s="81" t="s">
        <v>55</v>
      </c>
      <c r="W37" s="81" t="s">
        <v>55</v>
      </c>
      <c r="X37" s="81" t="s">
        <v>55</v>
      </c>
      <c r="Y37" s="81" t="s">
        <v>55</v>
      </c>
      <c r="Z37" s="81" t="s">
        <v>55</v>
      </c>
      <c r="AA37" s="81" t="s">
        <v>55</v>
      </c>
      <c r="AB37" s="81" t="s">
        <v>55</v>
      </c>
    </row>
    <row r="38" spans="1:28" ht="13.5">
      <c r="A38" s="168"/>
      <c r="B38" s="12"/>
      <c r="C38" s="12" t="s">
        <v>21</v>
      </c>
      <c r="D38" s="12"/>
      <c r="E38" s="12"/>
      <c r="F38" s="62">
        <v>93777</v>
      </c>
      <c r="G38" s="62">
        <v>92336</v>
      </c>
      <c r="H38" s="62">
        <v>91403</v>
      </c>
      <c r="I38" s="62">
        <v>90727</v>
      </c>
      <c r="J38" s="62">
        <v>90564</v>
      </c>
      <c r="K38" s="62">
        <v>91491</v>
      </c>
      <c r="L38" s="62">
        <v>92074</v>
      </c>
      <c r="M38" s="62">
        <v>90678</v>
      </c>
      <c r="N38" s="62">
        <v>88169</v>
      </c>
      <c r="O38" s="62">
        <v>85741.05</v>
      </c>
      <c r="P38" s="62">
        <v>83820</v>
      </c>
      <c r="Q38" s="62">
        <v>81960</v>
      </c>
      <c r="R38" s="62">
        <v>80494</v>
      </c>
      <c r="S38" s="62">
        <v>79646</v>
      </c>
      <c r="T38" s="56">
        <v>81710</v>
      </c>
      <c r="U38" s="56">
        <v>81268</v>
      </c>
      <c r="V38" s="56">
        <v>80226</v>
      </c>
      <c r="W38" s="56">
        <v>79814.8</v>
      </c>
      <c r="X38" s="56">
        <v>78533</v>
      </c>
      <c r="Y38" s="56">
        <v>77259</v>
      </c>
      <c r="Z38" s="56">
        <v>76491</v>
      </c>
      <c r="AA38" s="56">
        <v>77191.00499999999</v>
      </c>
      <c r="AB38" s="62">
        <v>78188.229299669212</v>
      </c>
    </row>
    <row r="39" spans="1:28" ht="13.5">
      <c r="A39" s="168"/>
      <c r="B39" s="12"/>
      <c r="C39" s="12"/>
      <c r="D39" s="12" t="s">
        <v>22</v>
      </c>
      <c r="E39" s="12"/>
      <c r="F39" s="56">
        <v>86728</v>
      </c>
      <c r="G39" s="56">
        <v>84867</v>
      </c>
      <c r="H39" s="56">
        <v>83848</v>
      </c>
      <c r="I39" s="56">
        <v>83198</v>
      </c>
      <c r="J39" s="56">
        <v>83377</v>
      </c>
      <c r="K39" s="56">
        <v>84972</v>
      </c>
      <c r="L39" s="56">
        <v>86153</v>
      </c>
      <c r="M39" s="56">
        <v>85324</v>
      </c>
      <c r="N39" s="56">
        <v>83000</v>
      </c>
      <c r="O39" s="56">
        <v>80943.25</v>
      </c>
      <c r="P39" s="56">
        <v>79082</v>
      </c>
      <c r="Q39" s="56">
        <v>77269</v>
      </c>
      <c r="R39" s="56">
        <v>75544</v>
      </c>
      <c r="S39" s="56">
        <v>74011</v>
      </c>
      <c r="T39" s="56">
        <v>73513</v>
      </c>
      <c r="U39" s="56">
        <v>73194</v>
      </c>
      <c r="V39" s="56">
        <v>73336</v>
      </c>
      <c r="W39" s="56">
        <v>73487.8</v>
      </c>
      <c r="X39" s="56">
        <v>72388</v>
      </c>
      <c r="Y39" s="56">
        <v>71271</v>
      </c>
      <c r="Z39" s="56">
        <v>69620</v>
      </c>
      <c r="AA39" s="56">
        <v>69257.88</v>
      </c>
      <c r="AB39" s="56">
        <v>69316.086442526343</v>
      </c>
    </row>
    <row r="40" spans="1:28" ht="13.5">
      <c r="A40" s="168"/>
      <c r="B40" s="12"/>
      <c r="C40" s="12"/>
      <c r="D40" s="12" t="s">
        <v>23</v>
      </c>
      <c r="E40" s="12"/>
      <c r="F40" s="56">
        <v>5024</v>
      </c>
      <c r="G40" s="56">
        <v>5202</v>
      </c>
      <c r="H40" s="56">
        <v>5369</v>
      </c>
      <c r="I40" s="56">
        <v>5261</v>
      </c>
      <c r="J40" s="56">
        <v>4953</v>
      </c>
      <c r="K40" s="56">
        <v>4460</v>
      </c>
      <c r="L40" s="56">
        <v>3998</v>
      </c>
      <c r="M40" s="56">
        <v>3935</v>
      </c>
      <c r="N40" s="56">
        <v>3807</v>
      </c>
      <c r="O40" s="56">
        <v>3574.8</v>
      </c>
      <c r="P40" s="56">
        <v>3586</v>
      </c>
      <c r="Q40" s="56">
        <v>3576</v>
      </c>
      <c r="R40" s="56">
        <v>3818</v>
      </c>
      <c r="S40" s="56">
        <v>4459</v>
      </c>
      <c r="T40" s="56">
        <v>7848</v>
      </c>
      <c r="U40" s="56">
        <v>7729</v>
      </c>
      <c r="V40" s="56">
        <v>6549</v>
      </c>
      <c r="W40" s="56">
        <v>6005</v>
      </c>
      <c r="X40" s="56">
        <v>5884</v>
      </c>
      <c r="Y40" s="56">
        <v>5733</v>
      </c>
      <c r="Z40" s="56">
        <v>6631</v>
      </c>
      <c r="AA40" s="56">
        <v>7694.1249999999864</v>
      </c>
      <c r="AB40" s="56">
        <v>8635.1428571428623</v>
      </c>
    </row>
    <row r="41" spans="1:28" ht="13.5">
      <c r="A41" s="168"/>
      <c r="B41" s="12"/>
      <c r="C41" s="12"/>
      <c r="D41" s="12" t="s">
        <v>24</v>
      </c>
      <c r="E41" s="12"/>
      <c r="F41" s="56">
        <v>2025</v>
      </c>
      <c r="G41" s="56">
        <v>2267</v>
      </c>
      <c r="H41" s="56">
        <v>2186</v>
      </c>
      <c r="I41" s="56">
        <v>2268</v>
      </c>
      <c r="J41" s="56">
        <v>2234</v>
      </c>
      <c r="K41" s="56">
        <v>2059</v>
      </c>
      <c r="L41" s="56">
        <v>1923</v>
      </c>
      <c r="M41" s="56">
        <v>1419</v>
      </c>
      <c r="N41" s="56">
        <v>1362</v>
      </c>
      <c r="O41" s="56">
        <v>1223</v>
      </c>
      <c r="P41" s="56">
        <v>1152</v>
      </c>
      <c r="Q41" s="56">
        <v>1115</v>
      </c>
      <c r="R41" s="56">
        <v>1132</v>
      </c>
      <c r="S41" s="56">
        <v>1176</v>
      </c>
      <c r="T41" s="56">
        <v>349</v>
      </c>
      <c r="U41" s="56">
        <v>345</v>
      </c>
      <c r="V41" s="56">
        <v>341</v>
      </c>
      <c r="W41" s="56">
        <v>322</v>
      </c>
      <c r="X41" s="56">
        <v>261</v>
      </c>
      <c r="Y41" s="56">
        <v>255</v>
      </c>
      <c r="Z41" s="56">
        <v>240</v>
      </c>
      <c r="AA41" s="56">
        <v>239</v>
      </c>
      <c r="AB41" s="56">
        <v>237</v>
      </c>
    </row>
    <row r="42" spans="1:28" ht="13.5">
      <c r="A42" s="168"/>
      <c r="B42" s="12"/>
      <c r="C42" s="12" t="s">
        <v>25</v>
      </c>
      <c r="D42" s="12"/>
      <c r="E42" s="12"/>
      <c r="F42" s="56">
        <v>29</v>
      </c>
      <c r="G42" s="56">
        <v>28</v>
      </c>
      <c r="H42" s="56">
        <v>26</v>
      </c>
      <c r="I42" s="56">
        <v>27</v>
      </c>
      <c r="J42" s="56">
        <v>28</v>
      </c>
      <c r="K42" s="56">
        <v>26</v>
      </c>
      <c r="L42" s="56">
        <v>24</v>
      </c>
      <c r="M42" s="56">
        <v>24</v>
      </c>
      <c r="N42" s="56">
        <v>25</v>
      </c>
      <c r="O42" s="56">
        <v>23</v>
      </c>
      <c r="P42" s="56">
        <v>21</v>
      </c>
      <c r="Q42" s="56">
        <v>17</v>
      </c>
      <c r="R42" s="56">
        <v>15</v>
      </c>
      <c r="S42" s="56">
        <v>13</v>
      </c>
      <c r="T42" s="56">
        <v>9</v>
      </c>
      <c r="U42" s="56">
        <v>8</v>
      </c>
      <c r="V42" s="56">
        <v>3</v>
      </c>
      <c r="W42" s="56">
        <v>4</v>
      </c>
      <c r="X42" s="56">
        <v>3</v>
      </c>
      <c r="Y42" s="56">
        <v>2</v>
      </c>
      <c r="Z42" s="56">
        <v>1</v>
      </c>
      <c r="AA42" s="56">
        <v>0</v>
      </c>
      <c r="AB42" s="56">
        <v>1</v>
      </c>
    </row>
    <row r="43" spans="1:28" ht="13.5">
      <c r="A43" s="168"/>
      <c r="B43" s="12"/>
      <c r="C43" s="12" t="s">
        <v>26</v>
      </c>
      <c r="D43" s="12"/>
      <c r="E43" s="12"/>
      <c r="F43" s="56">
        <v>20550</v>
      </c>
      <c r="G43" s="56">
        <v>22415</v>
      </c>
      <c r="H43" s="56">
        <v>24259</v>
      </c>
      <c r="I43" s="56">
        <v>25274</v>
      </c>
      <c r="J43" s="56">
        <v>25768</v>
      </c>
      <c r="K43" s="56">
        <v>24644</v>
      </c>
      <c r="L43" s="56">
        <v>23940</v>
      </c>
      <c r="M43" s="56">
        <v>23559</v>
      </c>
      <c r="N43" s="56">
        <v>22935.1</v>
      </c>
      <c r="O43" s="56">
        <v>22137.850000000002</v>
      </c>
      <c r="P43" s="56">
        <v>21179</v>
      </c>
      <c r="Q43" s="56">
        <v>20793</v>
      </c>
      <c r="R43" s="56">
        <v>20572</v>
      </c>
      <c r="S43" s="56">
        <v>20959</v>
      </c>
      <c r="T43" s="56">
        <v>20769</v>
      </c>
      <c r="U43" s="56">
        <v>20765</v>
      </c>
      <c r="V43" s="56">
        <v>20606</v>
      </c>
      <c r="W43" s="56">
        <v>20492.2</v>
      </c>
      <c r="X43" s="56">
        <v>20653</v>
      </c>
      <c r="Y43" s="56">
        <v>20442</v>
      </c>
      <c r="Z43" s="56">
        <v>19677</v>
      </c>
      <c r="AA43" s="56">
        <v>19295.219596655537</v>
      </c>
      <c r="AB43" s="56">
        <v>18935.770700337882</v>
      </c>
    </row>
    <row r="44" spans="1:28" ht="13.5">
      <c r="A44" s="168"/>
      <c r="B44" s="12"/>
      <c r="C44" s="12" t="s">
        <v>27</v>
      </c>
      <c r="D44" s="12"/>
      <c r="E44" s="12"/>
      <c r="F44" s="56">
        <v>513</v>
      </c>
      <c r="G44" s="56">
        <v>563</v>
      </c>
      <c r="H44" s="56">
        <v>726</v>
      </c>
      <c r="I44" s="56">
        <v>818</v>
      </c>
      <c r="J44" s="56">
        <v>864</v>
      </c>
      <c r="K44" s="56">
        <v>857</v>
      </c>
      <c r="L44" s="56">
        <v>879</v>
      </c>
      <c r="M44" s="56">
        <v>996</v>
      </c>
      <c r="N44" s="56">
        <v>1091</v>
      </c>
      <c r="O44" s="56">
        <v>1105</v>
      </c>
      <c r="P44" s="56">
        <v>1070</v>
      </c>
      <c r="Q44" s="56">
        <v>1030</v>
      </c>
      <c r="R44" s="56">
        <v>992</v>
      </c>
      <c r="S44" s="56">
        <v>918</v>
      </c>
      <c r="T44" s="56">
        <v>844</v>
      </c>
      <c r="U44" s="56">
        <v>770</v>
      </c>
      <c r="V44" s="56">
        <v>742</v>
      </c>
      <c r="W44" s="56">
        <v>683</v>
      </c>
      <c r="X44" s="56">
        <v>655</v>
      </c>
      <c r="Y44" s="56">
        <v>644</v>
      </c>
      <c r="Z44" s="56">
        <v>567</v>
      </c>
      <c r="AA44" s="56">
        <v>518</v>
      </c>
      <c r="AB44" s="56">
        <v>471</v>
      </c>
    </row>
    <row r="45" spans="1:28" ht="13.5">
      <c r="A45" s="168"/>
      <c r="B45" s="12"/>
      <c r="C45" s="12" t="s">
        <v>28</v>
      </c>
      <c r="D45" s="12"/>
      <c r="E45" s="12"/>
      <c r="F45" s="50" t="s">
        <v>55</v>
      </c>
      <c r="G45" s="50" t="s">
        <v>55</v>
      </c>
      <c r="H45" s="50" t="s">
        <v>55</v>
      </c>
      <c r="I45" s="50" t="s">
        <v>55</v>
      </c>
      <c r="J45" s="50" t="s">
        <v>55</v>
      </c>
      <c r="K45" s="50" t="s">
        <v>55</v>
      </c>
      <c r="L45" s="50" t="s">
        <v>55</v>
      </c>
      <c r="M45" s="50" t="s">
        <v>55</v>
      </c>
      <c r="N45" s="50" t="s">
        <v>55</v>
      </c>
      <c r="O45" s="50" t="s">
        <v>55</v>
      </c>
      <c r="P45" s="50" t="s">
        <v>55</v>
      </c>
      <c r="Q45" s="50" t="s">
        <v>55</v>
      </c>
      <c r="R45" s="50" t="s">
        <v>55</v>
      </c>
      <c r="S45" s="50" t="s">
        <v>55</v>
      </c>
      <c r="T45" s="50" t="s">
        <v>55</v>
      </c>
      <c r="U45" s="50" t="s">
        <v>55</v>
      </c>
      <c r="V45" s="50" t="s">
        <v>55</v>
      </c>
      <c r="W45" s="50" t="s">
        <v>55</v>
      </c>
      <c r="X45" s="50" t="s">
        <v>55</v>
      </c>
      <c r="Y45" s="50" t="s">
        <v>55</v>
      </c>
      <c r="Z45" s="50" t="s">
        <v>55</v>
      </c>
      <c r="AA45" s="50" t="s">
        <v>55</v>
      </c>
      <c r="AB45" s="50" t="s">
        <v>55</v>
      </c>
    </row>
    <row r="46" spans="1:28" ht="13.5">
      <c r="A46" s="168"/>
      <c r="B46" s="12"/>
      <c r="C46" s="12" t="s">
        <v>29</v>
      </c>
      <c r="D46" s="12"/>
      <c r="E46" s="12"/>
      <c r="F46" s="56">
        <v>4464</v>
      </c>
      <c r="G46" s="56">
        <v>4884</v>
      </c>
      <c r="H46" s="56">
        <v>5106</v>
      </c>
      <c r="I46" s="56">
        <v>5300</v>
      </c>
      <c r="J46" s="56">
        <v>5508</v>
      </c>
      <c r="K46" s="56">
        <v>5590</v>
      </c>
      <c r="L46" s="56">
        <v>5735</v>
      </c>
      <c r="M46" s="56">
        <v>5946</v>
      </c>
      <c r="N46" s="56">
        <v>6057.7</v>
      </c>
      <c r="O46" s="56">
        <v>6029</v>
      </c>
      <c r="P46" s="56">
        <v>5916</v>
      </c>
      <c r="Q46" s="56">
        <v>6012</v>
      </c>
      <c r="R46" s="56">
        <v>6133</v>
      </c>
      <c r="S46" s="56">
        <v>6176</v>
      </c>
      <c r="T46" s="56">
        <v>6250</v>
      </c>
      <c r="U46" s="56">
        <v>6222</v>
      </c>
      <c r="V46" s="56">
        <v>5979</v>
      </c>
      <c r="W46" s="56">
        <v>5770</v>
      </c>
      <c r="X46" s="56">
        <v>5728</v>
      </c>
      <c r="Y46" s="56">
        <v>5744</v>
      </c>
      <c r="Z46" s="56">
        <v>5572</v>
      </c>
      <c r="AA46" s="56">
        <v>5605.9999999999918</v>
      </c>
      <c r="AB46" s="56">
        <v>5477.9999999999891</v>
      </c>
    </row>
    <row r="47" spans="1:28" ht="13.5">
      <c r="A47" s="168"/>
      <c r="B47" s="12"/>
      <c r="C47" s="12" t="s">
        <v>30</v>
      </c>
      <c r="D47" s="12"/>
      <c r="E47" s="12"/>
      <c r="F47" s="56">
        <v>7693</v>
      </c>
      <c r="G47" s="56">
        <v>7779</v>
      </c>
      <c r="H47" s="56">
        <v>7543</v>
      </c>
      <c r="I47" s="56">
        <v>7382</v>
      </c>
      <c r="J47" s="56">
        <v>7174</v>
      </c>
      <c r="K47" s="56">
        <v>7248</v>
      </c>
      <c r="L47" s="56">
        <v>7375</v>
      </c>
      <c r="M47" s="56">
        <v>7917</v>
      </c>
      <c r="N47" s="56">
        <v>8298</v>
      </c>
      <c r="O47" s="56">
        <v>8593</v>
      </c>
      <c r="P47" s="56">
        <v>9076</v>
      </c>
      <c r="Q47" s="56">
        <v>9073</v>
      </c>
      <c r="R47" s="56">
        <v>9287</v>
      </c>
      <c r="S47" s="56">
        <v>9343</v>
      </c>
      <c r="T47" s="56">
        <v>9294</v>
      </c>
      <c r="U47" s="56">
        <v>9219</v>
      </c>
      <c r="V47" s="56">
        <v>9120</v>
      </c>
      <c r="W47" s="56">
        <v>9127</v>
      </c>
      <c r="X47" s="56">
        <v>9150</v>
      </c>
      <c r="Y47" s="56">
        <v>9228</v>
      </c>
      <c r="Z47" s="56">
        <v>8948</v>
      </c>
      <c r="AA47" s="56">
        <v>8719.0399999999936</v>
      </c>
      <c r="AB47" s="56">
        <v>8486.9999999999927</v>
      </c>
    </row>
    <row r="48" spans="1:28" ht="13.5">
      <c r="A48" s="168"/>
      <c r="B48" s="12"/>
      <c r="C48" s="12" t="s">
        <v>31</v>
      </c>
      <c r="D48" s="12"/>
      <c r="E48" s="12"/>
      <c r="F48" s="50" t="s">
        <v>55</v>
      </c>
      <c r="G48" s="50" t="s">
        <v>55</v>
      </c>
      <c r="H48" s="50" t="s">
        <v>55</v>
      </c>
      <c r="I48" s="50" t="s">
        <v>55</v>
      </c>
      <c r="J48" s="50" t="s">
        <v>55</v>
      </c>
      <c r="K48" s="50" t="s">
        <v>55</v>
      </c>
      <c r="L48" s="50" t="s">
        <v>55</v>
      </c>
      <c r="M48" s="50" t="s">
        <v>55</v>
      </c>
      <c r="N48" s="50" t="s">
        <v>55</v>
      </c>
      <c r="O48" s="50" t="s">
        <v>55</v>
      </c>
      <c r="P48" s="50" t="s">
        <v>55</v>
      </c>
      <c r="Q48" s="50" t="s">
        <v>55</v>
      </c>
      <c r="R48" s="50" t="s">
        <v>55</v>
      </c>
      <c r="S48" s="50" t="s">
        <v>55</v>
      </c>
      <c r="T48" s="50" t="s">
        <v>55</v>
      </c>
      <c r="U48" s="50" t="s">
        <v>55</v>
      </c>
      <c r="V48" s="50" t="s">
        <v>55</v>
      </c>
      <c r="W48" s="50" t="s">
        <v>55</v>
      </c>
      <c r="X48" s="50" t="s">
        <v>55</v>
      </c>
      <c r="Y48" s="50" t="s">
        <v>55</v>
      </c>
      <c r="Z48" s="50" t="s">
        <v>55</v>
      </c>
      <c r="AA48" s="50" t="s">
        <v>55</v>
      </c>
      <c r="AB48" s="50" t="s">
        <v>55</v>
      </c>
    </row>
    <row r="49" spans="1:28" ht="13.5">
      <c r="A49" s="168"/>
      <c r="B49" s="16" t="s">
        <v>129</v>
      </c>
      <c r="C49" s="16"/>
      <c r="D49" s="16"/>
      <c r="E49" s="16"/>
      <c r="F49" s="82" t="s">
        <v>55</v>
      </c>
      <c r="G49" s="82" t="s">
        <v>55</v>
      </c>
      <c r="H49" s="82" t="s">
        <v>55</v>
      </c>
      <c r="I49" s="82" t="s">
        <v>55</v>
      </c>
      <c r="J49" s="82" t="s">
        <v>55</v>
      </c>
      <c r="K49" s="82" t="s">
        <v>55</v>
      </c>
      <c r="L49" s="82" t="s">
        <v>55</v>
      </c>
      <c r="M49" s="82" t="s">
        <v>55</v>
      </c>
      <c r="N49" s="82" t="s">
        <v>55</v>
      </c>
      <c r="O49" s="82" t="s">
        <v>55</v>
      </c>
      <c r="P49" s="82" t="s">
        <v>55</v>
      </c>
      <c r="Q49" s="82" t="s">
        <v>55</v>
      </c>
      <c r="R49" s="82" t="s">
        <v>55</v>
      </c>
      <c r="S49" s="82" t="s">
        <v>55</v>
      </c>
      <c r="T49" s="82" t="s">
        <v>55</v>
      </c>
      <c r="U49" s="82" t="s">
        <v>55</v>
      </c>
      <c r="V49" s="82" t="s">
        <v>55</v>
      </c>
      <c r="W49" s="82" t="s">
        <v>55</v>
      </c>
      <c r="X49" s="82" t="s">
        <v>55</v>
      </c>
      <c r="Y49" s="82" t="s">
        <v>55</v>
      </c>
      <c r="Z49" s="82" t="s">
        <v>55</v>
      </c>
      <c r="AA49" s="82" t="s">
        <v>55</v>
      </c>
      <c r="AB49" s="82" t="s">
        <v>55</v>
      </c>
    </row>
    <row r="50" spans="1:28" ht="13.5">
      <c r="A50" s="168"/>
      <c r="B50" s="12"/>
      <c r="C50" s="12" t="s">
        <v>21</v>
      </c>
      <c r="D50" s="12"/>
      <c r="E50" s="12"/>
      <c r="F50" s="56">
        <v>5872</v>
      </c>
      <c r="G50" s="56">
        <v>6388</v>
      </c>
      <c r="H50" s="56">
        <v>6388</v>
      </c>
      <c r="I50" s="56">
        <v>6406</v>
      </c>
      <c r="J50" s="56">
        <v>6239</v>
      </c>
      <c r="K50" s="56">
        <v>5613</v>
      </c>
      <c r="L50" s="56">
        <v>5148</v>
      </c>
      <c r="M50" s="56">
        <v>4662</v>
      </c>
      <c r="N50" s="56">
        <v>4527</v>
      </c>
      <c r="O50" s="56">
        <v>4346.8</v>
      </c>
      <c r="P50" s="56">
        <v>4315</v>
      </c>
      <c r="Q50" s="56">
        <v>4277</v>
      </c>
      <c r="R50" s="56">
        <v>4536</v>
      </c>
      <c r="S50" s="56">
        <v>5257</v>
      </c>
      <c r="T50" s="56">
        <v>7811</v>
      </c>
      <c r="U50" s="56">
        <v>7669</v>
      </c>
      <c r="V50" s="56">
        <v>6481</v>
      </c>
      <c r="W50" s="56">
        <v>5928</v>
      </c>
      <c r="X50" s="56">
        <v>5654</v>
      </c>
      <c r="Y50" s="56">
        <v>5508</v>
      </c>
      <c r="Z50" s="56">
        <v>6409</v>
      </c>
      <c r="AA50" s="56">
        <v>7458.1249999999864</v>
      </c>
      <c r="AB50" s="56">
        <v>8383.1428571428623</v>
      </c>
    </row>
    <row r="51" spans="1:28" ht="13.5">
      <c r="A51" s="168"/>
      <c r="B51" s="12"/>
      <c r="C51" s="12"/>
      <c r="D51" s="12" t="s">
        <v>23</v>
      </c>
      <c r="E51" s="12"/>
      <c r="F51" s="56">
        <v>3847</v>
      </c>
      <c r="G51" s="56">
        <v>4121</v>
      </c>
      <c r="H51" s="56">
        <v>4202</v>
      </c>
      <c r="I51" s="56">
        <v>4138</v>
      </c>
      <c r="J51" s="56">
        <v>4005</v>
      </c>
      <c r="K51" s="56">
        <v>3554</v>
      </c>
      <c r="L51" s="56">
        <v>3225</v>
      </c>
      <c r="M51" s="56">
        <v>3243</v>
      </c>
      <c r="N51" s="56">
        <v>3165</v>
      </c>
      <c r="O51" s="56">
        <v>3123.8</v>
      </c>
      <c r="P51" s="56">
        <v>3163</v>
      </c>
      <c r="Q51" s="56">
        <v>3162</v>
      </c>
      <c r="R51" s="56">
        <v>3404</v>
      </c>
      <c r="S51" s="56">
        <v>4081</v>
      </c>
      <c r="T51" s="56">
        <v>7462</v>
      </c>
      <c r="U51" s="56">
        <v>7324</v>
      </c>
      <c r="V51" s="56">
        <v>6140</v>
      </c>
      <c r="W51" s="56">
        <v>5606</v>
      </c>
      <c r="X51" s="56">
        <v>5393</v>
      </c>
      <c r="Y51" s="56">
        <v>5253</v>
      </c>
      <c r="Z51" s="56">
        <v>6169</v>
      </c>
      <c r="AA51" s="56">
        <v>7219.1249999999864</v>
      </c>
      <c r="AB51" s="56">
        <v>8146.1428571428614</v>
      </c>
    </row>
    <row r="52" spans="1:28" ht="13.5">
      <c r="A52" s="168"/>
      <c r="B52" s="12"/>
      <c r="C52" s="12"/>
      <c r="D52" s="12" t="s">
        <v>24</v>
      </c>
      <c r="E52" s="12"/>
      <c r="F52" s="56">
        <v>2025</v>
      </c>
      <c r="G52" s="56">
        <v>2267</v>
      </c>
      <c r="H52" s="56">
        <v>2186</v>
      </c>
      <c r="I52" s="56">
        <v>2268</v>
      </c>
      <c r="J52" s="56">
        <v>2234</v>
      </c>
      <c r="K52" s="56">
        <v>2059</v>
      </c>
      <c r="L52" s="56">
        <v>1923</v>
      </c>
      <c r="M52" s="56">
        <v>1419</v>
      </c>
      <c r="N52" s="56">
        <v>1362</v>
      </c>
      <c r="O52" s="56">
        <v>1223</v>
      </c>
      <c r="P52" s="56">
        <v>1152</v>
      </c>
      <c r="Q52" s="56">
        <v>1115</v>
      </c>
      <c r="R52" s="56">
        <v>1132</v>
      </c>
      <c r="S52" s="56">
        <v>1176</v>
      </c>
      <c r="T52" s="56">
        <v>349</v>
      </c>
      <c r="U52" s="56">
        <v>345</v>
      </c>
      <c r="V52" s="56">
        <v>341</v>
      </c>
      <c r="W52" s="56">
        <v>322</v>
      </c>
      <c r="X52" s="56">
        <v>261</v>
      </c>
      <c r="Y52" s="56">
        <v>255</v>
      </c>
      <c r="Z52" s="56">
        <v>240</v>
      </c>
      <c r="AA52" s="56">
        <v>239</v>
      </c>
      <c r="AB52" s="56">
        <v>237</v>
      </c>
    </row>
    <row r="53" spans="1:28" ht="13.5">
      <c r="A53" s="168"/>
      <c r="B53" s="12"/>
      <c r="C53" s="12" t="s">
        <v>25</v>
      </c>
      <c r="D53" s="12"/>
      <c r="E53" s="12"/>
      <c r="F53" s="56">
        <v>29</v>
      </c>
      <c r="G53" s="56">
        <v>28</v>
      </c>
      <c r="H53" s="56">
        <v>26</v>
      </c>
      <c r="I53" s="56">
        <v>27</v>
      </c>
      <c r="J53" s="56">
        <v>28</v>
      </c>
      <c r="K53" s="56">
        <v>26</v>
      </c>
      <c r="L53" s="56">
        <v>24</v>
      </c>
      <c r="M53" s="56">
        <v>24</v>
      </c>
      <c r="N53" s="56">
        <v>25</v>
      </c>
      <c r="O53" s="56">
        <v>23</v>
      </c>
      <c r="P53" s="56">
        <v>21</v>
      </c>
      <c r="Q53" s="56">
        <v>17</v>
      </c>
      <c r="R53" s="56">
        <v>15</v>
      </c>
      <c r="S53" s="56">
        <v>13</v>
      </c>
      <c r="T53" s="56">
        <v>9</v>
      </c>
      <c r="U53" s="56">
        <v>8</v>
      </c>
      <c r="V53" s="56">
        <v>3</v>
      </c>
      <c r="W53" s="56">
        <v>4</v>
      </c>
      <c r="X53" s="56">
        <v>3</v>
      </c>
      <c r="Y53" s="56">
        <v>2</v>
      </c>
      <c r="Z53" s="56">
        <v>1</v>
      </c>
      <c r="AA53" s="56">
        <v>0</v>
      </c>
      <c r="AB53" s="56">
        <v>1</v>
      </c>
    </row>
    <row r="54" spans="1:28" ht="13.5">
      <c r="A54" s="168"/>
      <c r="B54" s="12"/>
      <c r="C54" s="12" t="s">
        <v>26</v>
      </c>
      <c r="D54" s="12"/>
      <c r="E54" s="12"/>
      <c r="F54" s="56">
        <v>19421</v>
      </c>
      <c r="G54" s="56">
        <v>21251</v>
      </c>
      <c r="H54" s="56">
        <v>23012</v>
      </c>
      <c r="I54" s="56">
        <v>24011</v>
      </c>
      <c r="J54" s="56">
        <v>24514</v>
      </c>
      <c r="K54" s="56">
        <v>23396</v>
      </c>
      <c r="L54" s="56">
        <v>22707</v>
      </c>
      <c r="M54" s="56">
        <v>22360</v>
      </c>
      <c r="N54" s="56">
        <v>21741.1</v>
      </c>
      <c r="O54" s="56">
        <v>20942.400000000001</v>
      </c>
      <c r="P54" s="56">
        <v>19910</v>
      </c>
      <c r="Q54" s="56">
        <v>19440</v>
      </c>
      <c r="R54" s="56">
        <v>19134</v>
      </c>
      <c r="S54" s="56">
        <v>19475</v>
      </c>
      <c r="T54" s="56">
        <v>19279</v>
      </c>
      <c r="U54" s="56">
        <v>19266</v>
      </c>
      <c r="V54" s="56">
        <v>19093</v>
      </c>
      <c r="W54" s="56">
        <v>18894.2</v>
      </c>
      <c r="X54" s="56">
        <v>18999</v>
      </c>
      <c r="Y54" s="56">
        <v>18801</v>
      </c>
      <c r="Z54" s="56">
        <v>18079</v>
      </c>
      <c r="AA54" s="56">
        <v>17663.219596655537</v>
      </c>
      <c r="AB54" s="56">
        <v>17204.770700337882</v>
      </c>
    </row>
    <row r="55" spans="1:28" ht="13.5">
      <c r="A55" s="168"/>
      <c r="B55" s="12"/>
      <c r="C55" s="12" t="s">
        <v>27</v>
      </c>
      <c r="D55" s="12"/>
      <c r="E55" s="12"/>
      <c r="F55" s="56">
        <v>508</v>
      </c>
      <c r="G55" s="56">
        <v>559</v>
      </c>
      <c r="H55" s="56">
        <v>696</v>
      </c>
      <c r="I55" s="56">
        <v>735</v>
      </c>
      <c r="J55" s="56">
        <v>760</v>
      </c>
      <c r="K55" s="56">
        <v>761</v>
      </c>
      <c r="L55" s="56">
        <v>772</v>
      </c>
      <c r="M55" s="56">
        <v>875</v>
      </c>
      <c r="N55" s="56">
        <v>964</v>
      </c>
      <c r="O55" s="56">
        <v>984</v>
      </c>
      <c r="P55" s="56">
        <v>954</v>
      </c>
      <c r="Q55" s="56">
        <v>918</v>
      </c>
      <c r="R55" s="56">
        <v>888</v>
      </c>
      <c r="S55" s="56">
        <v>819</v>
      </c>
      <c r="T55" s="56">
        <v>758</v>
      </c>
      <c r="U55" s="56">
        <v>687</v>
      </c>
      <c r="V55" s="56">
        <v>674</v>
      </c>
      <c r="W55" s="56">
        <v>615</v>
      </c>
      <c r="X55" s="56">
        <v>593</v>
      </c>
      <c r="Y55" s="56">
        <v>582</v>
      </c>
      <c r="Z55" s="56">
        <v>533</v>
      </c>
      <c r="AA55" s="56">
        <v>476</v>
      </c>
      <c r="AB55" s="56">
        <v>432</v>
      </c>
    </row>
    <row r="56" spans="1:28" ht="13.5">
      <c r="A56" s="168"/>
      <c r="B56" s="12"/>
      <c r="C56" s="12" t="s">
        <v>28</v>
      </c>
      <c r="D56" s="12"/>
      <c r="E56" s="12"/>
      <c r="F56" s="50" t="s">
        <v>55</v>
      </c>
      <c r="G56" s="50" t="s">
        <v>55</v>
      </c>
      <c r="H56" s="50" t="s">
        <v>55</v>
      </c>
      <c r="I56" s="50" t="s">
        <v>55</v>
      </c>
      <c r="J56" s="50" t="s">
        <v>55</v>
      </c>
      <c r="K56" s="50" t="s">
        <v>55</v>
      </c>
      <c r="L56" s="50" t="s">
        <v>55</v>
      </c>
      <c r="M56" s="50" t="s">
        <v>55</v>
      </c>
      <c r="N56" s="50" t="s">
        <v>55</v>
      </c>
      <c r="O56" s="50" t="s">
        <v>55</v>
      </c>
      <c r="P56" s="50" t="s">
        <v>55</v>
      </c>
      <c r="Q56" s="50" t="s">
        <v>55</v>
      </c>
      <c r="R56" s="50" t="s">
        <v>55</v>
      </c>
      <c r="S56" s="50" t="s">
        <v>55</v>
      </c>
      <c r="T56" s="50" t="s">
        <v>55</v>
      </c>
      <c r="U56" s="50" t="s">
        <v>55</v>
      </c>
      <c r="V56" s="50" t="s">
        <v>55</v>
      </c>
      <c r="W56" s="50" t="s">
        <v>55</v>
      </c>
      <c r="X56" s="50" t="s">
        <v>55</v>
      </c>
      <c r="Y56" s="50" t="s">
        <v>55</v>
      </c>
      <c r="Z56" s="50" t="s">
        <v>55</v>
      </c>
      <c r="AA56" s="50" t="s">
        <v>55</v>
      </c>
      <c r="AB56" s="50" t="s">
        <v>55</v>
      </c>
    </row>
    <row r="57" spans="1:28" ht="13.5">
      <c r="A57" s="168"/>
      <c r="B57" s="12"/>
      <c r="C57" s="12" t="s">
        <v>29</v>
      </c>
      <c r="D57" s="12"/>
      <c r="E57" s="12"/>
      <c r="F57" s="56">
        <v>3215</v>
      </c>
      <c r="G57" s="56">
        <v>3512</v>
      </c>
      <c r="H57" s="56">
        <v>3698</v>
      </c>
      <c r="I57" s="56">
        <v>3840</v>
      </c>
      <c r="J57" s="56">
        <v>3986</v>
      </c>
      <c r="K57" s="56">
        <v>4090</v>
      </c>
      <c r="L57" s="56">
        <v>4145</v>
      </c>
      <c r="M57" s="56">
        <v>4307</v>
      </c>
      <c r="N57" s="56">
        <v>4376.5</v>
      </c>
      <c r="O57" s="56">
        <v>4363</v>
      </c>
      <c r="P57" s="56">
        <v>4275</v>
      </c>
      <c r="Q57" s="56">
        <v>4287</v>
      </c>
      <c r="R57" s="56">
        <v>4381</v>
      </c>
      <c r="S57" s="56">
        <v>4441</v>
      </c>
      <c r="T57" s="56">
        <v>4466</v>
      </c>
      <c r="U57" s="56">
        <v>4482</v>
      </c>
      <c r="V57" s="56">
        <v>4282</v>
      </c>
      <c r="W57" s="56">
        <v>4113</v>
      </c>
      <c r="X57" s="56">
        <v>4101</v>
      </c>
      <c r="Y57" s="56">
        <v>4094</v>
      </c>
      <c r="Z57" s="56">
        <v>3913</v>
      </c>
      <c r="AA57" s="56">
        <v>3968.9999999999973</v>
      </c>
      <c r="AB57" s="56">
        <v>3908.9999999999927</v>
      </c>
    </row>
    <row r="58" spans="1:28" ht="13.5">
      <c r="A58" s="168"/>
      <c r="B58" s="12"/>
      <c r="C58" s="12" t="s">
        <v>30</v>
      </c>
      <c r="D58" s="12"/>
      <c r="E58" s="12"/>
      <c r="F58" s="56">
        <v>4882</v>
      </c>
      <c r="G58" s="56">
        <v>4830</v>
      </c>
      <c r="H58" s="56">
        <v>4669</v>
      </c>
      <c r="I58" s="56">
        <v>4690</v>
      </c>
      <c r="J58" s="56">
        <v>4569</v>
      </c>
      <c r="K58" s="56">
        <v>4633</v>
      </c>
      <c r="L58" s="56">
        <v>4662</v>
      </c>
      <c r="M58" s="56">
        <v>5040</v>
      </c>
      <c r="N58" s="56">
        <v>5334.6</v>
      </c>
      <c r="O58" s="56">
        <v>5544.7</v>
      </c>
      <c r="P58" s="56">
        <v>5944</v>
      </c>
      <c r="Q58" s="56">
        <v>5864</v>
      </c>
      <c r="R58" s="56">
        <v>5993</v>
      </c>
      <c r="S58" s="56">
        <v>6022</v>
      </c>
      <c r="T58" s="56">
        <v>5973</v>
      </c>
      <c r="U58" s="56">
        <v>5857.95</v>
      </c>
      <c r="V58" s="56">
        <v>5752.01</v>
      </c>
      <c r="W58" s="56">
        <v>5686.77</v>
      </c>
      <c r="X58" s="56">
        <v>5704.7</v>
      </c>
      <c r="Y58" s="56">
        <v>5816.3099999999995</v>
      </c>
      <c r="Z58" s="56">
        <v>5681.6900000000005</v>
      </c>
      <c r="AA58" s="56">
        <v>5545.4527272727228</v>
      </c>
      <c r="AB58" s="56">
        <v>5386.8099999999959</v>
      </c>
    </row>
    <row r="59" spans="1:28" ht="13.5">
      <c r="A59" s="168"/>
      <c r="B59" s="13"/>
      <c r="C59" s="13" t="s">
        <v>31</v>
      </c>
      <c r="D59" s="13"/>
      <c r="E59" s="13"/>
      <c r="F59" s="50" t="s">
        <v>55</v>
      </c>
      <c r="G59" s="50" t="s">
        <v>55</v>
      </c>
      <c r="H59" s="50" t="s">
        <v>55</v>
      </c>
      <c r="I59" s="50" t="s">
        <v>55</v>
      </c>
      <c r="J59" s="50" t="s">
        <v>55</v>
      </c>
      <c r="K59" s="50" t="s">
        <v>55</v>
      </c>
      <c r="L59" s="50" t="s">
        <v>55</v>
      </c>
      <c r="M59" s="50" t="s">
        <v>55</v>
      </c>
      <c r="N59" s="50" t="s">
        <v>55</v>
      </c>
      <c r="O59" s="50" t="s">
        <v>55</v>
      </c>
      <c r="P59" s="50" t="s">
        <v>55</v>
      </c>
      <c r="Q59" s="50" t="s">
        <v>55</v>
      </c>
      <c r="R59" s="50" t="s">
        <v>55</v>
      </c>
      <c r="S59" s="50" t="s">
        <v>55</v>
      </c>
      <c r="T59" s="50" t="s">
        <v>55</v>
      </c>
      <c r="U59" s="50" t="s">
        <v>55</v>
      </c>
      <c r="V59" s="50" t="s">
        <v>55</v>
      </c>
      <c r="W59" s="50" t="s">
        <v>55</v>
      </c>
      <c r="X59" s="50" t="s">
        <v>55</v>
      </c>
      <c r="Y59" s="50" t="s">
        <v>55</v>
      </c>
      <c r="Z59" s="50" t="s">
        <v>55</v>
      </c>
      <c r="AA59" s="50" t="s">
        <v>55</v>
      </c>
      <c r="AB59" s="50" t="s">
        <v>55</v>
      </c>
    </row>
    <row r="60" spans="1:28" ht="13.5">
      <c r="A60" s="168"/>
      <c r="B60" s="16" t="s">
        <v>130</v>
      </c>
      <c r="C60" s="16"/>
      <c r="D60" s="16"/>
      <c r="E60" s="16"/>
      <c r="F60" s="82" t="s">
        <v>55</v>
      </c>
      <c r="G60" s="82" t="s">
        <v>55</v>
      </c>
      <c r="H60" s="82" t="s">
        <v>55</v>
      </c>
      <c r="I60" s="82" t="s">
        <v>55</v>
      </c>
      <c r="J60" s="82" t="s">
        <v>55</v>
      </c>
      <c r="K60" s="82" t="s">
        <v>55</v>
      </c>
      <c r="L60" s="82" t="s">
        <v>55</v>
      </c>
      <c r="M60" s="82" t="s">
        <v>55</v>
      </c>
      <c r="N60" s="82" t="s">
        <v>55</v>
      </c>
      <c r="O60" s="82" t="s">
        <v>55</v>
      </c>
      <c r="P60" s="82" t="s">
        <v>55</v>
      </c>
      <c r="Q60" s="82" t="s">
        <v>55</v>
      </c>
      <c r="R60" s="82" t="s">
        <v>55</v>
      </c>
      <c r="S60" s="82" t="s">
        <v>55</v>
      </c>
      <c r="T60" s="82" t="s">
        <v>55</v>
      </c>
      <c r="U60" s="82" t="s">
        <v>55</v>
      </c>
      <c r="V60" s="82" t="s">
        <v>55</v>
      </c>
      <c r="W60" s="82" t="s">
        <v>55</v>
      </c>
      <c r="X60" s="82" t="s">
        <v>55</v>
      </c>
      <c r="Y60" s="82" t="s">
        <v>55</v>
      </c>
      <c r="Z60" s="82" t="s">
        <v>55</v>
      </c>
      <c r="AA60" s="82" t="s">
        <v>55</v>
      </c>
      <c r="AB60" s="82" t="s">
        <v>55</v>
      </c>
    </row>
    <row r="61" spans="1:28" ht="13.5">
      <c r="A61" s="168"/>
      <c r="B61" s="12"/>
      <c r="C61" s="12" t="s">
        <v>21</v>
      </c>
      <c r="D61" s="12"/>
      <c r="E61" s="12"/>
      <c r="F61" s="56">
        <v>87905</v>
      </c>
      <c r="G61" s="56">
        <v>85948</v>
      </c>
      <c r="H61" s="56">
        <v>85015</v>
      </c>
      <c r="I61" s="56">
        <v>84321</v>
      </c>
      <c r="J61" s="56">
        <v>84325</v>
      </c>
      <c r="K61" s="56">
        <v>85878</v>
      </c>
      <c r="L61" s="56">
        <v>86926</v>
      </c>
      <c r="M61" s="56">
        <v>86016</v>
      </c>
      <c r="N61" s="56">
        <v>83642</v>
      </c>
      <c r="O61" s="56">
        <v>81394.25</v>
      </c>
      <c r="P61" s="56">
        <v>79505</v>
      </c>
      <c r="Q61" s="56">
        <v>77683</v>
      </c>
      <c r="R61" s="56">
        <v>75958</v>
      </c>
      <c r="S61" s="56">
        <v>74389</v>
      </c>
      <c r="T61" s="56">
        <v>73899</v>
      </c>
      <c r="U61" s="56">
        <v>73599</v>
      </c>
      <c r="V61" s="56">
        <v>73745</v>
      </c>
      <c r="W61" s="56">
        <v>73886.8</v>
      </c>
      <c r="X61" s="56">
        <v>72879</v>
      </c>
      <c r="Y61" s="56">
        <v>71751</v>
      </c>
      <c r="Z61" s="56">
        <v>70082</v>
      </c>
      <c r="AA61" s="56">
        <v>69732.88</v>
      </c>
      <c r="AB61" s="56">
        <v>69805.086442526343</v>
      </c>
    </row>
    <row r="62" spans="1:28" ht="13.5">
      <c r="A62" s="168"/>
      <c r="B62" s="12"/>
      <c r="C62" s="12"/>
      <c r="D62" s="12" t="s">
        <v>22</v>
      </c>
      <c r="E62" s="12"/>
      <c r="F62" s="56">
        <v>86728</v>
      </c>
      <c r="G62" s="56">
        <v>84867</v>
      </c>
      <c r="H62" s="56">
        <v>83848</v>
      </c>
      <c r="I62" s="56">
        <v>83198</v>
      </c>
      <c r="J62" s="56">
        <v>83377</v>
      </c>
      <c r="K62" s="56">
        <v>84972</v>
      </c>
      <c r="L62" s="56">
        <v>86153</v>
      </c>
      <c r="M62" s="56">
        <v>85324</v>
      </c>
      <c r="N62" s="56">
        <v>83000</v>
      </c>
      <c r="O62" s="56">
        <v>80943.25</v>
      </c>
      <c r="P62" s="56">
        <v>79082</v>
      </c>
      <c r="Q62" s="56">
        <v>77269</v>
      </c>
      <c r="R62" s="56">
        <v>75544</v>
      </c>
      <c r="S62" s="56">
        <v>74011</v>
      </c>
      <c r="T62" s="56">
        <v>73513</v>
      </c>
      <c r="U62" s="56">
        <v>73194</v>
      </c>
      <c r="V62" s="56">
        <v>73336</v>
      </c>
      <c r="W62" s="56">
        <v>73487.8</v>
      </c>
      <c r="X62" s="56">
        <v>72388</v>
      </c>
      <c r="Y62" s="56">
        <v>71271</v>
      </c>
      <c r="Z62" s="56">
        <v>69620</v>
      </c>
      <c r="AA62" s="56">
        <v>69257.88</v>
      </c>
      <c r="AB62" s="56">
        <v>69316.086442526343</v>
      </c>
    </row>
    <row r="63" spans="1:28" ht="13.5">
      <c r="A63" s="168"/>
      <c r="B63" s="12"/>
      <c r="C63" s="12"/>
      <c r="D63" s="12" t="s">
        <v>23</v>
      </c>
      <c r="E63" s="12"/>
      <c r="F63" s="56">
        <v>1177</v>
      </c>
      <c r="G63" s="56">
        <v>1081</v>
      </c>
      <c r="H63" s="56">
        <v>1167</v>
      </c>
      <c r="I63" s="56">
        <v>1123</v>
      </c>
      <c r="J63" s="56">
        <v>948</v>
      </c>
      <c r="K63" s="56">
        <v>906</v>
      </c>
      <c r="L63" s="56">
        <v>773</v>
      </c>
      <c r="M63" s="56">
        <v>692</v>
      </c>
      <c r="N63" s="56">
        <v>642</v>
      </c>
      <c r="O63" s="56">
        <v>451</v>
      </c>
      <c r="P63" s="56">
        <v>423</v>
      </c>
      <c r="Q63" s="56">
        <v>414</v>
      </c>
      <c r="R63" s="56">
        <v>414</v>
      </c>
      <c r="S63" s="56">
        <v>378</v>
      </c>
      <c r="T63" s="56">
        <v>386</v>
      </c>
      <c r="U63" s="56">
        <v>405</v>
      </c>
      <c r="V63" s="56">
        <v>409</v>
      </c>
      <c r="W63" s="56">
        <v>399</v>
      </c>
      <c r="X63" s="56">
        <v>491</v>
      </c>
      <c r="Y63" s="56">
        <v>480</v>
      </c>
      <c r="Z63" s="56">
        <v>462</v>
      </c>
      <c r="AA63" s="56">
        <v>475</v>
      </c>
      <c r="AB63" s="56">
        <v>489.00000000000006</v>
      </c>
    </row>
    <row r="64" spans="1:28" ht="13.5">
      <c r="A64" s="168"/>
      <c r="B64" s="12"/>
      <c r="C64" s="12" t="s">
        <v>25</v>
      </c>
      <c r="D64" s="12"/>
      <c r="E64" s="12"/>
      <c r="F64" s="56">
        <v>0</v>
      </c>
      <c r="G64" s="56">
        <v>0</v>
      </c>
      <c r="H64" s="56">
        <v>0</v>
      </c>
      <c r="I64" s="56">
        <v>0</v>
      </c>
      <c r="J64" s="56">
        <v>0</v>
      </c>
      <c r="K64" s="56">
        <v>0</v>
      </c>
      <c r="L64" s="56">
        <v>0</v>
      </c>
      <c r="M64" s="56">
        <v>0</v>
      </c>
      <c r="N64" s="56">
        <v>0</v>
      </c>
      <c r="O64" s="56">
        <v>0</v>
      </c>
      <c r="P64" s="56">
        <v>0</v>
      </c>
      <c r="Q64" s="56">
        <v>0</v>
      </c>
      <c r="R64" s="56">
        <v>0</v>
      </c>
      <c r="S64" s="56">
        <v>0</v>
      </c>
      <c r="T64" s="56">
        <v>0</v>
      </c>
      <c r="U64" s="56">
        <v>0</v>
      </c>
      <c r="V64" s="56">
        <v>0</v>
      </c>
      <c r="W64" s="56">
        <v>0</v>
      </c>
      <c r="X64" s="56">
        <v>0</v>
      </c>
      <c r="Y64" s="56">
        <v>0</v>
      </c>
      <c r="Z64" s="56">
        <v>0</v>
      </c>
      <c r="AA64" s="56">
        <v>0</v>
      </c>
      <c r="AB64" s="56">
        <v>0</v>
      </c>
    </row>
    <row r="65" spans="1:28" ht="13.5">
      <c r="A65" s="168"/>
      <c r="B65" s="12"/>
      <c r="C65" s="12" t="s">
        <v>26</v>
      </c>
      <c r="D65" s="12"/>
      <c r="E65" s="12"/>
      <c r="F65" s="56">
        <v>1129</v>
      </c>
      <c r="G65" s="56">
        <v>1164</v>
      </c>
      <c r="H65" s="56">
        <v>1247</v>
      </c>
      <c r="I65" s="56">
        <v>1263</v>
      </c>
      <c r="J65" s="56">
        <v>1254</v>
      </c>
      <c r="K65" s="56">
        <v>1248</v>
      </c>
      <c r="L65" s="56">
        <v>1233</v>
      </c>
      <c r="M65" s="56">
        <v>1199</v>
      </c>
      <c r="N65" s="56">
        <v>1194</v>
      </c>
      <c r="O65" s="56">
        <v>1195.45</v>
      </c>
      <c r="P65" s="56">
        <v>1269</v>
      </c>
      <c r="Q65" s="56">
        <v>1353</v>
      </c>
      <c r="R65" s="56">
        <v>1438</v>
      </c>
      <c r="S65" s="56">
        <v>1484</v>
      </c>
      <c r="T65" s="56">
        <v>1490</v>
      </c>
      <c r="U65" s="56">
        <v>1499</v>
      </c>
      <c r="V65" s="56">
        <v>1513</v>
      </c>
      <c r="W65" s="56">
        <v>1598</v>
      </c>
      <c r="X65" s="56">
        <v>1654</v>
      </c>
      <c r="Y65" s="56">
        <v>1641</v>
      </c>
      <c r="Z65" s="56">
        <v>1598</v>
      </c>
      <c r="AA65" s="56">
        <v>1632.0000000000002</v>
      </c>
      <c r="AB65" s="56">
        <v>1730.9999999999998</v>
      </c>
    </row>
    <row r="66" spans="1:28" ht="13.5">
      <c r="A66" s="168"/>
      <c r="B66" s="12"/>
      <c r="C66" s="12" t="s">
        <v>27</v>
      </c>
      <c r="D66" s="12"/>
      <c r="E66" s="12"/>
      <c r="F66" s="56">
        <v>5</v>
      </c>
      <c r="G66" s="56">
        <v>4</v>
      </c>
      <c r="H66" s="56">
        <v>30</v>
      </c>
      <c r="I66" s="56">
        <v>83</v>
      </c>
      <c r="J66" s="56">
        <v>104</v>
      </c>
      <c r="K66" s="56">
        <v>96</v>
      </c>
      <c r="L66" s="56">
        <v>107</v>
      </c>
      <c r="M66" s="56">
        <v>121</v>
      </c>
      <c r="N66" s="56">
        <v>127</v>
      </c>
      <c r="O66" s="56">
        <v>121</v>
      </c>
      <c r="P66" s="56">
        <v>116</v>
      </c>
      <c r="Q66" s="56">
        <v>112</v>
      </c>
      <c r="R66" s="56">
        <v>104</v>
      </c>
      <c r="S66" s="56">
        <v>99</v>
      </c>
      <c r="T66" s="56">
        <v>86</v>
      </c>
      <c r="U66" s="56">
        <v>83</v>
      </c>
      <c r="V66" s="56">
        <v>68</v>
      </c>
      <c r="W66" s="56">
        <v>68</v>
      </c>
      <c r="X66" s="56">
        <v>62</v>
      </c>
      <c r="Y66" s="56">
        <v>62</v>
      </c>
      <c r="Z66" s="56">
        <v>34</v>
      </c>
      <c r="AA66" s="56">
        <v>42</v>
      </c>
      <c r="AB66" s="56">
        <v>39</v>
      </c>
    </row>
    <row r="67" spans="1:28" ht="13.5">
      <c r="A67" s="168"/>
      <c r="B67" s="12"/>
      <c r="C67" s="12" t="s">
        <v>29</v>
      </c>
      <c r="D67" s="12"/>
      <c r="E67" s="12"/>
      <c r="F67" s="56">
        <v>1249</v>
      </c>
      <c r="G67" s="56">
        <v>1372</v>
      </c>
      <c r="H67" s="56">
        <v>1408</v>
      </c>
      <c r="I67" s="56">
        <v>1460</v>
      </c>
      <c r="J67" s="56">
        <v>1522</v>
      </c>
      <c r="K67" s="56">
        <v>1500</v>
      </c>
      <c r="L67" s="56">
        <v>1590</v>
      </c>
      <c r="M67" s="56">
        <v>1639</v>
      </c>
      <c r="N67" s="56">
        <v>1681.2</v>
      </c>
      <c r="O67" s="56">
        <v>1666</v>
      </c>
      <c r="P67" s="56">
        <v>1641</v>
      </c>
      <c r="Q67" s="56">
        <v>1725</v>
      </c>
      <c r="R67" s="56">
        <v>1752</v>
      </c>
      <c r="S67" s="56">
        <v>1735</v>
      </c>
      <c r="T67" s="56">
        <v>1784</v>
      </c>
      <c r="U67" s="56">
        <v>1740</v>
      </c>
      <c r="V67" s="56">
        <v>1697</v>
      </c>
      <c r="W67" s="56">
        <v>1657</v>
      </c>
      <c r="X67" s="56">
        <v>1627</v>
      </c>
      <c r="Y67" s="56">
        <v>1650</v>
      </c>
      <c r="Z67" s="56">
        <v>1659</v>
      </c>
      <c r="AA67" s="56">
        <v>1636.9999999999945</v>
      </c>
      <c r="AB67" s="56">
        <v>1568.9999999999964</v>
      </c>
    </row>
    <row r="68" spans="1:28" ht="13.5">
      <c r="A68" s="168"/>
      <c r="B68" s="12"/>
      <c r="C68" s="12" t="s">
        <v>30</v>
      </c>
      <c r="D68" s="12"/>
      <c r="E68" s="12"/>
      <c r="F68" s="56">
        <v>2811</v>
      </c>
      <c r="G68" s="56">
        <v>2949</v>
      </c>
      <c r="H68" s="56">
        <v>2874</v>
      </c>
      <c r="I68" s="56">
        <v>2692</v>
      </c>
      <c r="J68" s="56">
        <v>2605</v>
      </c>
      <c r="K68" s="56">
        <v>2615</v>
      </c>
      <c r="L68" s="56">
        <v>2713</v>
      </c>
      <c r="M68" s="56">
        <v>2877</v>
      </c>
      <c r="N68" s="56">
        <v>2963.4</v>
      </c>
      <c r="O68" s="56">
        <v>3048.3</v>
      </c>
      <c r="P68" s="56">
        <v>3132</v>
      </c>
      <c r="Q68" s="56">
        <v>3209</v>
      </c>
      <c r="R68" s="56">
        <v>3294</v>
      </c>
      <c r="S68" s="56">
        <v>3321</v>
      </c>
      <c r="T68" s="56">
        <v>3321</v>
      </c>
      <c r="U68" s="56">
        <v>3361.05</v>
      </c>
      <c r="V68" s="56">
        <v>3367.99</v>
      </c>
      <c r="W68" s="56">
        <v>3440.23</v>
      </c>
      <c r="X68" s="56">
        <v>3445.3</v>
      </c>
      <c r="Y68" s="56">
        <v>3411.69</v>
      </c>
      <c r="Z68" s="56">
        <v>3266.31</v>
      </c>
      <c r="AA68" s="56">
        <v>3173.5872727272717</v>
      </c>
      <c r="AB68" s="56">
        <v>3100.189999999996</v>
      </c>
    </row>
    <row r="69" spans="1:28" ht="13.5">
      <c r="A69" s="168"/>
      <c r="B69" s="13"/>
      <c r="C69" s="13" t="s">
        <v>31</v>
      </c>
      <c r="D69" s="13"/>
      <c r="E69" s="13"/>
      <c r="F69" s="51" t="s">
        <v>55</v>
      </c>
      <c r="G69" s="51" t="s">
        <v>55</v>
      </c>
      <c r="H69" s="51" t="s">
        <v>55</v>
      </c>
      <c r="I69" s="51" t="s">
        <v>55</v>
      </c>
      <c r="J69" s="51" t="s">
        <v>55</v>
      </c>
      <c r="K69" s="51" t="s">
        <v>55</v>
      </c>
      <c r="L69" s="51" t="s">
        <v>55</v>
      </c>
      <c r="M69" s="51" t="s">
        <v>55</v>
      </c>
      <c r="N69" s="51" t="s">
        <v>55</v>
      </c>
      <c r="O69" s="51" t="s">
        <v>55</v>
      </c>
      <c r="P69" s="51" t="s">
        <v>55</v>
      </c>
      <c r="Q69" s="51" t="s">
        <v>55</v>
      </c>
      <c r="R69" s="51" t="s">
        <v>55</v>
      </c>
      <c r="S69" s="51" t="s">
        <v>55</v>
      </c>
      <c r="T69" s="50" t="s">
        <v>55</v>
      </c>
      <c r="U69" s="51" t="s">
        <v>55</v>
      </c>
      <c r="V69" s="51" t="s">
        <v>55</v>
      </c>
      <c r="W69" s="51" t="s">
        <v>55</v>
      </c>
      <c r="X69" s="51" t="s">
        <v>55</v>
      </c>
      <c r="Y69" s="51" t="s">
        <v>55</v>
      </c>
      <c r="Z69" s="51" t="s">
        <v>55</v>
      </c>
      <c r="AA69" s="51" t="s">
        <v>55</v>
      </c>
      <c r="AB69" s="51" t="s">
        <v>55</v>
      </c>
    </row>
    <row r="70" spans="1:28">
      <c r="A70" s="168"/>
      <c r="B70" s="171" t="s">
        <v>33</v>
      </c>
      <c r="C70" s="171"/>
      <c r="D70" s="171"/>
      <c r="E70" s="155" t="s">
        <v>32</v>
      </c>
      <c r="F70" s="155"/>
      <c r="G70" s="155"/>
      <c r="H70" s="155"/>
      <c r="I70" s="155"/>
      <c r="J70" s="155"/>
      <c r="K70" s="155"/>
      <c r="L70" s="155"/>
      <c r="M70" s="155"/>
      <c r="N70" s="155"/>
      <c r="O70" s="155"/>
      <c r="P70" s="155"/>
      <c r="Q70" s="155"/>
      <c r="R70" s="155"/>
      <c r="S70" s="155"/>
      <c r="T70" s="155"/>
      <c r="U70" s="140"/>
      <c r="V70" s="140"/>
      <c r="W70" s="140"/>
      <c r="X70" s="140"/>
      <c r="Y70" s="140"/>
      <c r="Z70" s="140"/>
      <c r="AA70" s="140"/>
      <c r="AB70" s="110"/>
    </row>
    <row r="71" spans="1:28" ht="25.5" customHeight="1">
      <c r="A71" s="153"/>
      <c r="B71" s="140"/>
      <c r="C71" s="140"/>
      <c r="D71" s="140"/>
      <c r="E71" s="167" t="s">
        <v>200</v>
      </c>
      <c r="F71" s="167"/>
      <c r="G71" s="167"/>
      <c r="H71" s="167"/>
      <c r="I71" s="167"/>
      <c r="J71" s="167"/>
      <c r="K71" s="167"/>
      <c r="L71" s="167"/>
      <c r="M71" s="167"/>
      <c r="N71" s="167"/>
      <c r="O71" s="167"/>
      <c r="P71" s="167"/>
      <c r="Q71" s="167"/>
      <c r="R71" s="167"/>
      <c r="S71" s="167"/>
      <c r="T71" s="167"/>
      <c r="U71" s="167"/>
      <c r="V71" s="167"/>
      <c r="W71" s="167"/>
      <c r="X71" s="167"/>
      <c r="Y71" s="167"/>
      <c r="Z71" s="167"/>
      <c r="AA71" s="167"/>
      <c r="AB71" s="167"/>
    </row>
    <row r="72" spans="1:28">
      <c r="E72" s="178" t="s">
        <v>189</v>
      </c>
      <c r="F72" s="178"/>
      <c r="G72" s="178"/>
      <c r="H72" s="178"/>
      <c r="I72" s="178"/>
      <c r="J72" s="178"/>
      <c r="K72" s="179"/>
      <c r="L72" s="179"/>
      <c r="M72" s="179"/>
      <c r="N72" s="179"/>
      <c r="O72" s="179"/>
      <c r="P72" s="179"/>
      <c r="Q72" s="179"/>
      <c r="R72" s="179"/>
      <c r="S72" s="179"/>
      <c r="T72" s="179"/>
    </row>
  </sheetData>
  <mergeCells count="7">
    <mergeCell ref="E72:T72"/>
    <mergeCell ref="A1:A36"/>
    <mergeCell ref="A37:A70"/>
    <mergeCell ref="B1:E1"/>
    <mergeCell ref="B5:E5"/>
    <mergeCell ref="B70:D70"/>
    <mergeCell ref="E71:AB71"/>
  </mergeCells>
  <hyperlinks>
    <hyperlink ref="E71:AB71" location="Leer!Druckbereich" display="Ab 2024 gelten für die Schularten des Sek-I-Bereichs neue Bezeichnungen bzw. Zusätze. Zudem kommt es bei den Hauptschulen, Schularten mit zwei Bildungsgängen und Schularten mit drei Bildungsgängen zu Neuzuordnungen." xr:uid="{43D8AC7B-24AC-4641-BD12-12EABD673FD9}"/>
  </hyperlinks>
  <printOptions verticalCentered="1"/>
  <pageMargins left="0.23622047244094491" right="0.23622047244094491" top="0.74803149606299213" bottom="0.74803149606299213" header="0.31496062992125984" footer="0.31496062992125984"/>
  <pageSetup paperSize="9" scale="94" orientation="landscape" r:id="rId1"/>
  <rowBreaks count="1" manualBreakCount="1">
    <brk id="36" max="14"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0"/>
  <dimension ref="A1:AB72"/>
  <sheetViews>
    <sheetView view="pageBreakPreview" topLeftCell="A57" zoomScale="140" zoomScaleNormal="120" zoomScaleSheetLayoutView="140" workbookViewId="0">
      <selection activeCell="J27" sqref="J27"/>
    </sheetView>
  </sheetViews>
  <sheetFormatPr baseColWidth="10" defaultColWidth="11.42578125" defaultRowHeight="12.75"/>
  <cols>
    <col min="1" max="1" width="2.7109375" style="3" customWidth="1"/>
    <col min="2" max="2" width="3.7109375" style="3" customWidth="1"/>
    <col min="3" max="4" width="2.7109375" style="3" customWidth="1"/>
    <col min="5" max="5" width="17.7109375" style="3" customWidth="1"/>
    <col min="6" max="21" width="6.7109375" style="3" customWidth="1"/>
    <col min="22" max="22" width="8.42578125" style="3" bestFit="1" customWidth="1"/>
    <col min="23" max="16384" width="11.42578125" style="3"/>
  </cols>
  <sheetData>
    <row r="1" spans="1:22" ht="12.75" customHeight="1">
      <c r="A1" s="168">
        <v>59</v>
      </c>
      <c r="B1" s="169" t="s">
        <v>0</v>
      </c>
      <c r="C1" s="169"/>
      <c r="D1" s="169"/>
      <c r="E1" s="169"/>
    </row>
    <row r="2" spans="1:22">
      <c r="A2" s="168"/>
      <c r="B2" s="4" t="s">
        <v>51</v>
      </c>
      <c r="C2" s="4"/>
      <c r="D2" s="4" t="s">
        <v>53</v>
      </c>
      <c r="E2" s="4"/>
    </row>
    <row r="3" spans="1:22">
      <c r="A3" s="168"/>
      <c r="B3" s="5" t="s">
        <v>54</v>
      </c>
      <c r="C3" s="4"/>
      <c r="D3" s="4" t="s">
        <v>186</v>
      </c>
      <c r="E3" s="4"/>
    </row>
    <row r="4" spans="1:22" ht="20.25" customHeight="1">
      <c r="A4" s="168"/>
    </row>
    <row r="5" spans="1:22" s="7" customFormat="1" ht="18.75" customHeight="1">
      <c r="A5" s="168"/>
      <c r="B5" s="170" t="s">
        <v>126</v>
      </c>
      <c r="C5" s="170"/>
      <c r="D5" s="170"/>
      <c r="E5" s="170"/>
      <c r="F5" s="18" t="s">
        <v>34</v>
      </c>
      <c r="G5" s="18" t="s">
        <v>35</v>
      </c>
      <c r="H5" s="18" t="s">
        <v>36</v>
      </c>
      <c r="I5" s="18" t="s">
        <v>37</v>
      </c>
      <c r="J5" s="18" t="s">
        <v>38</v>
      </c>
      <c r="K5" s="18" t="s">
        <v>39</v>
      </c>
      <c r="L5" s="18" t="s">
        <v>40</v>
      </c>
      <c r="M5" s="18" t="s">
        <v>41</v>
      </c>
      <c r="N5" s="18" t="s">
        <v>42</v>
      </c>
      <c r="O5" s="18" t="s">
        <v>43</v>
      </c>
      <c r="P5" s="18" t="s">
        <v>44</v>
      </c>
      <c r="Q5" s="18" t="s">
        <v>45</v>
      </c>
      <c r="R5" s="18" t="s">
        <v>46</v>
      </c>
      <c r="S5" s="18" t="s">
        <v>47</v>
      </c>
      <c r="T5" s="18" t="s">
        <v>48</v>
      </c>
      <c r="U5" s="18" t="s">
        <v>49</v>
      </c>
      <c r="V5" s="18" t="s">
        <v>50</v>
      </c>
    </row>
    <row r="6" spans="1:22" ht="18" customHeight="1">
      <c r="A6" s="168"/>
      <c r="B6" s="9" t="s">
        <v>120</v>
      </c>
      <c r="C6" s="9"/>
      <c r="D6" s="9"/>
      <c r="E6" s="16"/>
      <c r="F6" s="26" t="s">
        <v>55</v>
      </c>
      <c r="G6" s="26" t="s">
        <v>55</v>
      </c>
      <c r="H6" s="26" t="s">
        <v>55</v>
      </c>
      <c r="I6" s="26" t="s">
        <v>55</v>
      </c>
      <c r="J6" s="26" t="s">
        <v>55</v>
      </c>
      <c r="K6" s="26" t="s">
        <v>55</v>
      </c>
      <c r="L6" s="26" t="s">
        <v>55</v>
      </c>
      <c r="M6" s="26" t="s">
        <v>55</v>
      </c>
      <c r="N6" s="26" t="s">
        <v>55</v>
      </c>
      <c r="O6" s="26" t="s">
        <v>55</v>
      </c>
      <c r="P6" s="26" t="s">
        <v>55</v>
      </c>
      <c r="Q6" s="26" t="s">
        <v>55</v>
      </c>
      <c r="R6" s="26" t="s">
        <v>55</v>
      </c>
      <c r="S6" s="26" t="s">
        <v>55</v>
      </c>
      <c r="T6" s="26" t="s">
        <v>55</v>
      </c>
      <c r="U6" s="26" t="s">
        <v>55</v>
      </c>
      <c r="V6" s="26" t="s">
        <v>55</v>
      </c>
    </row>
    <row r="7" spans="1:22">
      <c r="A7" s="168"/>
      <c r="B7" s="10" t="s">
        <v>119</v>
      </c>
      <c r="C7" s="10"/>
      <c r="D7" s="10"/>
      <c r="E7" s="9"/>
      <c r="F7" s="27" t="s">
        <v>55</v>
      </c>
      <c r="G7" s="27" t="s">
        <v>55</v>
      </c>
      <c r="H7" s="27" t="s">
        <v>55</v>
      </c>
      <c r="I7" s="27" t="s">
        <v>55</v>
      </c>
      <c r="J7" s="27" t="s">
        <v>55</v>
      </c>
      <c r="K7" s="27" t="s">
        <v>55</v>
      </c>
      <c r="L7" s="27" t="s">
        <v>55</v>
      </c>
      <c r="M7" s="27" t="s">
        <v>55</v>
      </c>
      <c r="N7" s="27" t="s">
        <v>55</v>
      </c>
      <c r="O7" s="27" t="s">
        <v>55</v>
      </c>
      <c r="P7" s="27" t="s">
        <v>55</v>
      </c>
      <c r="Q7" s="27" t="s">
        <v>55</v>
      </c>
      <c r="R7" s="27" t="s">
        <v>55</v>
      </c>
      <c r="S7" s="27" t="s">
        <v>55</v>
      </c>
      <c r="T7" s="27" t="s">
        <v>55</v>
      </c>
      <c r="U7" s="27" t="s">
        <v>55</v>
      </c>
      <c r="V7" s="27" t="s">
        <v>55</v>
      </c>
    </row>
    <row r="8" spans="1:22">
      <c r="A8" s="168"/>
      <c r="B8" s="11" t="s">
        <v>3</v>
      </c>
      <c r="C8" s="11"/>
      <c r="D8" s="11"/>
      <c r="E8" s="11"/>
      <c r="F8" s="19">
        <v>6536</v>
      </c>
      <c r="G8" s="19">
        <v>5492</v>
      </c>
      <c r="H8" s="19">
        <v>1169</v>
      </c>
      <c r="I8" s="19">
        <v>1069.44</v>
      </c>
      <c r="J8" s="19">
        <v>80</v>
      </c>
      <c r="K8" s="19">
        <v>487</v>
      </c>
      <c r="L8" s="19">
        <v>2395</v>
      </c>
      <c r="M8" s="19">
        <v>810</v>
      </c>
      <c r="N8" s="19">
        <v>3010</v>
      </c>
      <c r="O8" s="19">
        <v>7856</v>
      </c>
      <c r="P8" s="19">
        <v>1771</v>
      </c>
      <c r="Q8" s="19">
        <v>402</v>
      </c>
      <c r="R8" s="19">
        <v>2082</v>
      </c>
      <c r="S8" s="19">
        <v>1450</v>
      </c>
      <c r="T8" s="19">
        <v>702</v>
      </c>
      <c r="U8" s="19">
        <v>755</v>
      </c>
      <c r="V8" s="19">
        <v>36066.44</v>
      </c>
    </row>
    <row r="9" spans="1:22">
      <c r="A9" s="168"/>
      <c r="B9" s="12"/>
      <c r="C9" s="12" t="s">
        <v>4</v>
      </c>
      <c r="D9" s="12"/>
      <c r="E9" s="12"/>
      <c r="F9" s="21">
        <v>1743</v>
      </c>
      <c r="G9" s="21">
        <v>2096</v>
      </c>
      <c r="H9" s="21">
        <v>41</v>
      </c>
      <c r="I9" s="21">
        <v>400.07</v>
      </c>
      <c r="J9" s="21">
        <v>12</v>
      </c>
      <c r="K9" s="21">
        <v>71</v>
      </c>
      <c r="L9" s="21">
        <v>609</v>
      </c>
      <c r="M9" s="21">
        <v>321</v>
      </c>
      <c r="N9" s="21">
        <v>283</v>
      </c>
      <c r="O9" s="21">
        <v>1302</v>
      </c>
      <c r="P9" s="21">
        <v>838</v>
      </c>
      <c r="Q9" s="21">
        <v>124</v>
      </c>
      <c r="R9" s="21">
        <v>989</v>
      </c>
      <c r="S9" s="21">
        <v>465</v>
      </c>
      <c r="T9" s="21">
        <v>115</v>
      </c>
      <c r="U9" s="21">
        <v>269</v>
      </c>
      <c r="V9" s="21">
        <v>9678.07</v>
      </c>
    </row>
    <row r="10" spans="1:22">
      <c r="A10" s="168"/>
      <c r="B10" s="13"/>
      <c r="C10" s="13" t="s">
        <v>5</v>
      </c>
      <c r="D10" s="13"/>
      <c r="E10" s="13"/>
      <c r="F10" s="22">
        <v>4793</v>
      </c>
      <c r="G10" s="22">
        <v>3396</v>
      </c>
      <c r="H10" s="22">
        <v>1128</v>
      </c>
      <c r="I10" s="22">
        <v>669.37</v>
      </c>
      <c r="J10" s="22">
        <v>68</v>
      </c>
      <c r="K10" s="22">
        <v>416</v>
      </c>
      <c r="L10" s="22">
        <v>1786</v>
      </c>
      <c r="M10" s="22">
        <v>489</v>
      </c>
      <c r="N10" s="22">
        <v>2727</v>
      </c>
      <c r="O10" s="22">
        <v>6554</v>
      </c>
      <c r="P10" s="22">
        <v>933</v>
      </c>
      <c r="Q10" s="22">
        <v>278</v>
      </c>
      <c r="R10" s="22">
        <v>1093</v>
      </c>
      <c r="S10" s="22">
        <v>985</v>
      </c>
      <c r="T10" s="22">
        <v>587</v>
      </c>
      <c r="U10" s="22">
        <v>486</v>
      </c>
      <c r="V10" s="22">
        <v>26388.370000000003</v>
      </c>
    </row>
    <row r="11" spans="1:22" s="152" customFormat="1" hidden="1">
      <c r="A11" s="168"/>
      <c r="B11" s="13"/>
      <c r="C11" s="13"/>
      <c r="D11" s="13"/>
      <c r="E11" s="13"/>
      <c r="F11" s="22"/>
      <c r="G11" s="22"/>
      <c r="H11" s="22"/>
      <c r="I11" s="22"/>
      <c r="J11" s="22"/>
      <c r="K11" s="22"/>
      <c r="L11" s="22"/>
      <c r="M11" s="22"/>
      <c r="N11" s="22"/>
      <c r="O11" s="22"/>
      <c r="P11" s="22"/>
      <c r="Q11" s="22"/>
      <c r="R11" s="22"/>
      <c r="S11" s="22"/>
      <c r="T11" s="22"/>
      <c r="U11" s="22"/>
      <c r="V11" s="22"/>
    </row>
    <row r="12" spans="1:22">
      <c r="A12" s="168"/>
      <c r="B12" s="11" t="s">
        <v>6</v>
      </c>
      <c r="C12" s="11"/>
      <c r="D12" s="11"/>
      <c r="E12" s="11"/>
      <c r="F12" s="19">
        <v>951</v>
      </c>
      <c r="G12" s="19">
        <v>0</v>
      </c>
      <c r="H12" s="19">
        <v>0</v>
      </c>
      <c r="I12" s="19">
        <v>0</v>
      </c>
      <c r="J12" s="19">
        <v>1</v>
      </c>
      <c r="K12" s="19">
        <v>588</v>
      </c>
      <c r="L12" s="19">
        <v>369</v>
      </c>
      <c r="M12" s="19">
        <v>0</v>
      </c>
      <c r="N12" s="19">
        <v>216</v>
      </c>
      <c r="O12" s="19">
        <v>239</v>
      </c>
      <c r="P12" s="19">
        <v>7</v>
      </c>
      <c r="Q12" s="19">
        <v>2</v>
      </c>
      <c r="R12" s="19">
        <v>0</v>
      </c>
      <c r="S12" s="19">
        <v>0</v>
      </c>
      <c r="T12" s="19">
        <v>0</v>
      </c>
      <c r="U12" s="19">
        <v>0</v>
      </c>
      <c r="V12" s="19">
        <v>2373</v>
      </c>
    </row>
    <row r="13" spans="1:22">
      <c r="A13" s="168"/>
      <c r="B13" s="12"/>
      <c r="C13" s="12" t="s">
        <v>7</v>
      </c>
      <c r="D13" s="12"/>
      <c r="E13" s="12"/>
      <c r="F13" s="21">
        <v>0</v>
      </c>
      <c r="G13" s="21">
        <v>0</v>
      </c>
      <c r="H13" s="21">
        <v>0</v>
      </c>
      <c r="I13" s="21">
        <v>0</v>
      </c>
      <c r="J13" s="21">
        <v>1</v>
      </c>
      <c r="K13" s="21">
        <v>588</v>
      </c>
      <c r="L13" s="21">
        <v>0</v>
      </c>
      <c r="M13" s="21">
        <v>0</v>
      </c>
      <c r="N13" s="21">
        <v>0</v>
      </c>
      <c r="O13" s="21">
        <v>0</v>
      </c>
      <c r="P13" s="21">
        <v>0</v>
      </c>
      <c r="Q13" s="21">
        <v>0</v>
      </c>
      <c r="R13" s="21">
        <v>0</v>
      </c>
      <c r="S13" s="21">
        <v>0</v>
      </c>
      <c r="T13" s="21">
        <v>0</v>
      </c>
      <c r="U13" s="21">
        <v>0</v>
      </c>
      <c r="V13" s="21">
        <v>589</v>
      </c>
    </row>
    <row r="14" spans="1:22">
      <c r="A14" s="168"/>
      <c r="B14" s="13"/>
      <c r="C14" s="13" t="s">
        <v>8</v>
      </c>
      <c r="D14" s="13"/>
      <c r="E14" s="13"/>
      <c r="F14" s="22">
        <v>951</v>
      </c>
      <c r="G14" s="22">
        <v>0</v>
      </c>
      <c r="H14" s="22">
        <v>0</v>
      </c>
      <c r="I14" s="22">
        <v>0</v>
      </c>
      <c r="J14" s="22">
        <v>0</v>
      </c>
      <c r="K14" s="22">
        <v>0</v>
      </c>
      <c r="L14" s="22">
        <v>369</v>
      </c>
      <c r="M14" s="22">
        <v>0</v>
      </c>
      <c r="N14" s="22">
        <v>216</v>
      </c>
      <c r="O14" s="22">
        <v>239</v>
      </c>
      <c r="P14" s="22">
        <v>7</v>
      </c>
      <c r="Q14" s="22">
        <v>2</v>
      </c>
      <c r="R14" s="22">
        <v>0</v>
      </c>
      <c r="S14" s="22">
        <v>0</v>
      </c>
      <c r="T14" s="22">
        <v>0</v>
      </c>
      <c r="U14" s="22">
        <v>0</v>
      </c>
      <c r="V14" s="21">
        <v>1784</v>
      </c>
    </row>
    <row r="15" spans="1:22">
      <c r="A15" s="168"/>
      <c r="B15" s="11" t="s">
        <v>123</v>
      </c>
      <c r="C15" s="11"/>
      <c r="D15" s="11"/>
      <c r="E15" s="11"/>
      <c r="F15" s="19">
        <v>21053</v>
      </c>
      <c r="G15" s="19">
        <v>23005</v>
      </c>
      <c r="H15" s="19">
        <v>6550</v>
      </c>
      <c r="I15" s="19">
        <v>4594.9799999999996</v>
      </c>
      <c r="J15" s="19">
        <v>1391</v>
      </c>
      <c r="K15" s="19">
        <v>3695</v>
      </c>
      <c r="L15" s="19">
        <v>13085</v>
      </c>
      <c r="M15" s="19">
        <v>2905</v>
      </c>
      <c r="N15" s="19">
        <v>16415</v>
      </c>
      <c r="O15" s="19">
        <v>30371</v>
      </c>
      <c r="P15" s="19">
        <v>8576</v>
      </c>
      <c r="Q15" s="19">
        <v>1788</v>
      </c>
      <c r="R15" s="19">
        <v>7285</v>
      </c>
      <c r="S15" s="19">
        <v>3770</v>
      </c>
      <c r="T15" s="19">
        <v>5389</v>
      </c>
      <c r="U15" s="19">
        <v>3807</v>
      </c>
      <c r="V15" s="24">
        <v>153679.98000000001</v>
      </c>
    </row>
    <row r="16" spans="1:22">
      <c r="A16" s="168"/>
      <c r="B16" s="12"/>
      <c r="C16" s="12" t="s">
        <v>9</v>
      </c>
      <c r="D16" s="12"/>
      <c r="E16" s="12"/>
      <c r="F16" s="21">
        <v>18179</v>
      </c>
      <c r="G16" s="21">
        <v>22880</v>
      </c>
      <c r="H16" s="21">
        <v>5953</v>
      </c>
      <c r="I16" s="21">
        <v>4510.03</v>
      </c>
      <c r="J16" s="21">
        <v>1379</v>
      </c>
      <c r="K16" s="21">
        <v>3412</v>
      </c>
      <c r="L16" s="21">
        <v>13014</v>
      </c>
      <c r="M16" s="21">
        <v>2882</v>
      </c>
      <c r="N16" s="21">
        <v>16263</v>
      </c>
      <c r="O16" s="21">
        <v>30104</v>
      </c>
      <c r="P16" s="21">
        <v>8538</v>
      </c>
      <c r="Q16" s="21">
        <v>1772</v>
      </c>
      <c r="R16" s="21">
        <v>7211</v>
      </c>
      <c r="S16" s="21">
        <v>3749</v>
      </c>
      <c r="T16" s="21">
        <v>5324</v>
      </c>
      <c r="U16" s="21">
        <v>3298</v>
      </c>
      <c r="V16" s="21">
        <v>148468.03</v>
      </c>
    </row>
    <row r="17" spans="1:22">
      <c r="A17" s="168"/>
      <c r="B17" s="12"/>
      <c r="C17" s="12" t="s">
        <v>187</v>
      </c>
      <c r="D17" s="12"/>
      <c r="E17" s="12"/>
      <c r="F17" s="21">
        <v>2578</v>
      </c>
      <c r="G17" s="21">
        <v>0</v>
      </c>
      <c r="H17" s="21">
        <v>534</v>
      </c>
      <c r="I17" s="21">
        <v>54.95</v>
      </c>
      <c r="J17" s="21">
        <v>0</v>
      </c>
      <c r="K17" s="21">
        <v>249</v>
      </c>
      <c r="L17" s="21">
        <v>0</v>
      </c>
      <c r="M17" s="21">
        <v>0</v>
      </c>
      <c r="N17" s="21">
        <v>57</v>
      </c>
      <c r="O17" s="21">
        <v>62</v>
      </c>
      <c r="P17" s="21">
        <v>0</v>
      </c>
      <c r="Q17" s="21">
        <v>0</v>
      </c>
      <c r="R17" s="21">
        <v>22</v>
      </c>
      <c r="S17" s="21">
        <v>0</v>
      </c>
      <c r="T17" s="21">
        <v>0</v>
      </c>
      <c r="U17" s="21">
        <v>487</v>
      </c>
      <c r="V17" s="21">
        <v>4043.95</v>
      </c>
    </row>
    <row r="18" spans="1:22">
      <c r="A18" s="168"/>
      <c r="B18" s="13"/>
      <c r="C18" s="13" t="s">
        <v>11</v>
      </c>
      <c r="D18" s="13"/>
      <c r="E18" s="13"/>
      <c r="F18" s="22">
        <v>296</v>
      </c>
      <c r="G18" s="22">
        <v>125</v>
      </c>
      <c r="H18" s="22">
        <v>63</v>
      </c>
      <c r="I18" s="22">
        <v>30</v>
      </c>
      <c r="J18" s="22">
        <v>12</v>
      </c>
      <c r="K18" s="22">
        <v>34</v>
      </c>
      <c r="L18" s="22">
        <v>71</v>
      </c>
      <c r="M18" s="22">
        <v>23</v>
      </c>
      <c r="N18" s="22">
        <v>95</v>
      </c>
      <c r="O18" s="22">
        <v>205</v>
      </c>
      <c r="P18" s="22">
        <v>38</v>
      </c>
      <c r="Q18" s="22">
        <v>16</v>
      </c>
      <c r="R18" s="22">
        <v>52</v>
      </c>
      <c r="S18" s="22">
        <v>21</v>
      </c>
      <c r="T18" s="22">
        <v>65</v>
      </c>
      <c r="U18" s="22">
        <v>22</v>
      </c>
      <c r="V18" s="22">
        <v>1168</v>
      </c>
    </row>
    <row r="19" spans="1:22">
      <c r="A19" s="168"/>
      <c r="B19" s="11" t="s">
        <v>124</v>
      </c>
      <c r="C19" s="11"/>
      <c r="D19" s="11"/>
      <c r="E19" s="11"/>
      <c r="F19" s="19">
        <v>24259</v>
      </c>
      <c r="G19" s="19">
        <v>29845</v>
      </c>
      <c r="H19" s="19">
        <v>8201</v>
      </c>
      <c r="I19" s="19">
        <v>5757.99</v>
      </c>
      <c r="J19" s="19">
        <v>1732</v>
      </c>
      <c r="K19" s="19">
        <v>4029</v>
      </c>
      <c r="L19" s="19">
        <v>14981</v>
      </c>
      <c r="M19" s="19">
        <v>3590</v>
      </c>
      <c r="N19" s="19">
        <v>19068</v>
      </c>
      <c r="O19" s="19">
        <v>37958</v>
      </c>
      <c r="P19" s="19">
        <v>8657</v>
      </c>
      <c r="Q19" s="19">
        <v>1859</v>
      </c>
      <c r="R19" s="19">
        <v>8503</v>
      </c>
      <c r="S19" s="19">
        <v>4420</v>
      </c>
      <c r="T19" s="19">
        <v>6774</v>
      </c>
      <c r="U19" s="19">
        <v>4760</v>
      </c>
      <c r="V19" s="19">
        <v>184393.99</v>
      </c>
    </row>
    <row r="20" spans="1:22">
      <c r="A20" s="168"/>
      <c r="B20" s="12"/>
      <c r="C20" s="12" t="s">
        <v>12</v>
      </c>
      <c r="D20" s="12"/>
      <c r="E20" s="12"/>
      <c r="F20" s="21">
        <v>0</v>
      </c>
      <c r="G20" s="21">
        <v>21</v>
      </c>
      <c r="H20" s="21">
        <v>2861</v>
      </c>
      <c r="I20" s="21">
        <v>2068.46</v>
      </c>
      <c r="J20" s="21">
        <v>0</v>
      </c>
      <c r="K20" s="21">
        <v>23</v>
      </c>
      <c r="L20" s="21">
        <v>760</v>
      </c>
      <c r="M20" s="21">
        <v>0</v>
      </c>
      <c r="N20" s="21">
        <v>0</v>
      </c>
      <c r="O20" s="21">
        <v>0</v>
      </c>
      <c r="P20" s="21">
        <v>0</v>
      </c>
      <c r="Q20" s="21">
        <v>0</v>
      </c>
      <c r="R20" s="21">
        <v>0</v>
      </c>
      <c r="S20" s="21">
        <v>0</v>
      </c>
      <c r="T20" s="21">
        <v>0</v>
      </c>
      <c r="U20" s="21">
        <v>0</v>
      </c>
      <c r="V20" s="21">
        <v>5733.46</v>
      </c>
    </row>
    <row r="21" spans="1:22">
      <c r="A21" s="168"/>
      <c r="B21" s="12"/>
      <c r="C21" s="12" t="s">
        <v>13</v>
      </c>
      <c r="D21" s="12"/>
      <c r="E21" s="12"/>
      <c r="F21" s="21">
        <v>2295</v>
      </c>
      <c r="G21" s="21">
        <v>0</v>
      </c>
      <c r="H21" s="21">
        <v>0</v>
      </c>
      <c r="I21" s="21">
        <v>0</v>
      </c>
      <c r="J21" s="21">
        <v>0</v>
      </c>
      <c r="K21" s="21">
        <v>0</v>
      </c>
      <c r="L21" s="21">
        <v>1526</v>
      </c>
      <c r="M21" s="21">
        <v>0</v>
      </c>
      <c r="N21" s="21">
        <v>1234</v>
      </c>
      <c r="O21" s="21">
        <v>2326</v>
      </c>
      <c r="P21" s="21">
        <v>16</v>
      </c>
      <c r="Q21" s="21">
        <v>0</v>
      </c>
      <c r="R21" s="21">
        <v>0</v>
      </c>
      <c r="S21" s="21">
        <v>0</v>
      </c>
      <c r="T21" s="21">
        <v>0</v>
      </c>
      <c r="U21" s="21">
        <v>0</v>
      </c>
      <c r="V21" s="21">
        <v>7397</v>
      </c>
    </row>
    <row r="22" spans="1:22">
      <c r="A22" s="168"/>
      <c r="B22" s="12"/>
      <c r="C22" s="12" t="s">
        <v>188</v>
      </c>
      <c r="D22" s="12"/>
      <c r="E22" s="12"/>
      <c r="F22" s="21">
        <v>0</v>
      </c>
      <c r="G22" s="21">
        <v>10240</v>
      </c>
      <c r="H22" s="21">
        <v>0</v>
      </c>
      <c r="I22" s="21">
        <v>1634.07</v>
      </c>
      <c r="J22" s="21">
        <v>0</v>
      </c>
      <c r="K22" s="21">
        <v>0</v>
      </c>
      <c r="L22" s="21">
        <v>430</v>
      </c>
      <c r="M22" s="21">
        <v>2378</v>
      </c>
      <c r="N22" s="21">
        <v>5378</v>
      </c>
      <c r="O22" s="21">
        <v>0</v>
      </c>
      <c r="P22" s="21">
        <v>3709</v>
      </c>
      <c r="Q22" s="21">
        <v>7</v>
      </c>
      <c r="R22" s="21">
        <v>5224</v>
      </c>
      <c r="S22" s="21">
        <v>1946</v>
      </c>
      <c r="T22" s="21">
        <v>0</v>
      </c>
      <c r="U22" s="21">
        <v>2198</v>
      </c>
      <c r="V22" s="21">
        <v>33144.07</v>
      </c>
    </row>
    <row r="23" spans="1:22">
      <c r="A23" s="168"/>
      <c r="B23" s="12"/>
      <c r="C23" s="12" t="s">
        <v>15</v>
      </c>
      <c r="D23" s="12"/>
      <c r="E23" s="12"/>
      <c r="F23" s="21">
        <v>8735</v>
      </c>
      <c r="G23" s="21">
        <v>9359</v>
      </c>
      <c r="H23" s="21">
        <v>0</v>
      </c>
      <c r="I23" s="21">
        <v>0</v>
      </c>
      <c r="J23" s="21">
        <v>0</v>
      </c>
      <c r="K23" s="21">
        <v>0</v>
      </c>
      <c r="L23" s="21">
        <v>2773</v>
      </c>
      <c r="M23" s="21">
        <v>0</v>
      </c>
      <c r="N23" s="21">
        <v>2527</v>
      </c>
      <c r="O23" s="21">
        <v>7466</v>
      </c>
      <c r="P23" s="21">
        <v>99</v>
      </c>
      <c r="Q23" s="21">
        <v>39</v>
      </c>
      <c r="R23" s="21">
        <v>0</v>
      </c>
      <c r="S23" s="21">
        <v>0</v>
      </c>
      <c r="T23" s="21">
        <v>0</v>
      </c>
      <c r="U23" s="21">
        <v>0</v>
      </c>
      <c r="V23" s="21">
        <v>30998</v>
      </c>
    </row>
    <row r="24" spans="1:22">
      <c r="A24" s="168"/>
      <c r="B24" s="12"/>
      <c r="C24" s="12" t="s">
        <v>16</v>
      </c>
      <c r="D24" s="12"/>
      <c r="E24" s="12"/>
      <c r="F24" s="21">
        <v>8054</v>
      </c>
      <c r="G24" s="21"/>
      <c r="H24" s="21">
        <v>1694</v>
      </c>
      <c r="I24" s="21">
        <v>1233.21</v>
      </c>
      <c r="J24" s="21">
        <v>274</v>
      </c>
      <c r="K24" s="21">
        <v>1611</v>
      </c>
      <c r="L24" s="21">
        <v>5997</v>
      </c>
      <c r="M24" s="21">
        <v>814</v>
      </c>
      <c r="N24" s="21">
        <v>6830</v>
      </c>
      <c r="O24" s="21">
        <v>14329</v>
      </c>
      <c r="P24" s="21">
        <v>3419</v>
      </c>
      <c r="Q24" s="21">
        <v>671</v>
      </c>
      <c r="R24" s="21">
        <v>3116</v>
      </c>
      <c r="S24" s="21">
        <v>1496</v>
      </c>
      <c r="T24" s="21">
        <v>2434</v>
      </c>
      <c r="U24" s="21">
        <v>1459</v>
      </c>
      <c r="V24" s="21">
        <v>63385.21</v>
      </c>
    </row>
    <row r="25" spans="1:22">
      <c r="A25" s="168"/>
      <c r="B25" s="12"/>
      <c r="C25" s="12" t="s">
        <v>187</v>
      </c>
      <c r="D25" s="12"/>
      <c r="E25" s="12"/>
      <c r="F25" s="21">
        <v>4592</v>
      </c>
      <c r="G25" s="21">
        <v>79</v>
      </c>
      <c r="H25" s="21">
        <v>3506</v>
      </c>
      <c r="I25" s="21">
        <v>792.05</v>
      </c>
      <c r="J25" s="21">
        <v>1417</v>
      </c>
      <c r="K25" s="21">
        <v>2319</v>
      </c>
      <c r="L25" s="21">
        <v>3293</v>
      </c>
      <c r="M25" s="21">
        <v>372</v>
      </c>
      <c r="N25" s="21">
        <v>2958</v>
      </c>
      <c r="O25" s="21">
        <v>13163</v>
      </c>
      <c r="P25" s="21">
        <v>1360</v>
      </c>
      <c r="Q25" s="21">
        <v>1115</v>
      </c>
      <c r="R25" s="21">
        <v>63</v>
      </c>
      <c r="S25" s="21">
        <v>941</v>
      </c>
      <c r="T25" s="21">
        <v>4248</v>
      </c>
      <c r="U25" s="21">
        <v>1073</v>
      </c>
      <c r="V25" s="21">
        <v>41291.050000000003</v>
      </c>
    </row>
    <row r="26" spans="1:22">
      <c r="A26" s="168"/>
      <c r="B26" s="12"/>
      <c r="C26" s="12" t="s">
        <v>11</v>
      </c>
      <c r="D26" s="12"/>
      <c r="E26" s="12"/>
      <c r="F26" s="21">
        <v>533</v>
      </c>
      <c r="G26" s="21">
        <v>177</v>
      </c>
      <c r="H26" s="21">
        <v>86</v>
      </c>
      <c r="I26" s="21">
        <v>30.2</v>
      </c>
      <c r="J26" s="21">
        <v>18</v>
      </c>
      <c r="K26" s="21">
        <v>48</v>
      </c>
      <c r="L26" s="21">
        <v>100</v>
      </c>
      <c r="M26" s="21">
        <v>26</v>
      </c>
      <c r="N26" s="21">
        <v>141</v>
      </c>
      <c r="O26" s="21">
        <v>301</v>
      </c>
      <c r="P26" s="21">
        <v>54</v>
      </c>
      <c r="Q26" s="21">
        <v>25</v>
      </c>
      <c r="R26" s="21">
        <v>68</v>
      </c>
      <c r="S26" s="21">
        <v>33</v>
      </c>
      <c r="T26" s="21">
        <v>92</v>
      </c>
      <c r="U26" s="21">
        <v>30</v>
      </c>
      <c r="V26" s="21">
        <v>1762.2</v>
      </c>
    </row>
    <row r="27" spans="1:22">
      <c r="A27" s="168"/>
      <c r="B27" s="12"/>
      <c r="C27" s="12" t="s">
        <v>17</v>
      </c>
      <c r="D27" s="12"/>
      <c r="E27" s="12"/>
      <c r="F27" s="21">
        <v>0</v>
      </c>
      <c r="G27" s="21">
        <v>0</v>
      </c>
      <c r="H27" s="21">
        <v>16</v>
      </c>
      <c r="I27" s="21">
        <v>0</v>
      </c>
      <c r="J27" s="21">
        <v>7</v>
      </c>
      <c r="K27" s="21">
        <v>0</v>
      </c>
      <c r="L27" s="21">
        <v>22</v>
      </c>
      <c r="M27" s="21">
        <v>0</v>
      </c>
      <c r="N27" s="21">
        <v>0</v>
      </c>
      <c r="O27" s="21">
        <v>0</v>
      </c>
      <c r="P27" s="21">
        <v>0</v>
      </c>
      <c r="Q27" s="21">
        <v>0</v>
      </c>
      <c r="R27" s="21">
        <v>0</v>
      </c>
      <c r="S27" s="21">
        <v>0</v>
      </c>
      <c r="T27" s="21">
        <v>0</v>
      </c>
      <c r="U27" s="21">
        <v>0</v>
      </c>
      <c r="V27" s="21">
        <v>45</v>
      </c>
    </row>
    <row r="28" spans="1:22">
      <c r="A28" s="168"/>
      <c r="B28" s="13"/>
      <c r="C28" s="13" t="s">
        <v>18</v>
      </c>
      <c r="D28" s="13"/>
      <c r="E28" s="13"/>
      <c r="F28" s="21">
        <v>50</v>
      </c>
      <c r="G28" s="21">
        <v>15</v>
      </c>
      <c r="H28" s="21">
        <v>38</v>
      </c>
      <c r="I28" s="21">
        <v>0</v>
      </c>
      <c r="J28" s="21">
        <v>16</v>
      </c>
      <c r="K28" s="21">
        <v>28</v>
      </c>
      <c r="L28" s="21">
        <v>80</v>
      </c>
      <c r="M28" s="21">
        <v>0</v>
      </c>
      <c r="N28" s="21">
        <v>0</v>
      </c>
      <c r="O28" s="21">
        <v>373</v>
      </c>
      <c r="P28" s="21">
        <v>0</v>
      </c>
      <c r="Q28" s="21">
        <v>2</v>
      </c>
      <c r="R28" s="21">
        <v>32</v>
      </c>
      <c r="S28" s="21">
        <v>4</v>
      </c>
      <c r="T28" s="21">
        <v>0</v>
      </c>
      <c r="U28" s="21">
        <v>0</v>
      </c>
      <c r="V28" s="21">
        <v>638</v>
      </c>
    </row>
    <row r="29" spans="1:22">
      <c r="A29" s="168"/>
      <c r="B29" s="9" t="s">
        <v>125</v>
      </c>
      <c r="C29" s="9"/>
      <c r="D29" s="9"/>
      <c r="E29" s="9"/>
      <c r="F29" s="27" t="s">
        <v>55</v>
      </c>
      <c r="G29" s="27" t="s">
        <v>55</v>
      </c>
      <c r="H29" s="27" t="s">
        <v>55</v>
      </c>
      <c r="I29" s="27" t="s">
        <v>55</v>
      </c>
      <c r="J29" s="27" t="s">
        <v>55</v>
      </c>
      <c r="K29" s="27" t="s">
        <v>55</v>
      </c>
      <c r="L29" s="27" t="s">
        <v>55</v>
      </c>
      <c r="M29" s="27" t="s">
        <v>55</v>
      </c>
      <c r="N29" s="27" t="s">
        <v>55</v>
      </c>
      <c r="O29" s="27" t="s">
        <v>55</v>
      </c>
      <c r="P29" s="27" t="s">
        <v>55</v>
      </c>
      <c r="Q29" s="27" t="s">
        <v>55</v>
      </c>
      <c r="R29" s="27" t="s">
        <v>55</v>
      </c>
      <c r="S29" s="27" t="s">
        <v>55</v>
      </c>
      <c r="T29" s="27" t="s">
        <v>55</v>
      </c>
      <c r="U29" s="27" t="s">
        <v>55</v>
      </c>
      <c r="V29" s="27" t="s">
        <v>55</v>
      </c>
    </row>
    <row r="30" spans="1:22" ht="25.5" customHeight="1">
      <c r="A30" s="168"/>
      <c r="B30" s="183" t="s">
        <v>132</v>
      </c>
      <c r="C30" s="183"/>
      <c r="D30" s="183"/>
      <c r="E30" s="183"/>
      <c r="F30" s="28" t="s">
        <v>55</v>
      </c>
      <c r="G30" s="28" t="s">
        <v>55</v>
      </c>
      <c r="H30" s="28" t="s">
        <v>55</v>
      </c>
      <c r="I30" s="28" t="s">
        <v>55</v>
      </c>
      <c r="J30" s="28" t="s">
        <v>55</v>
      </c>
      <c r="K30" s="28" t="s">
        <v>55</v>
      </c>
      <c r="L30" s="28" t="s">
        <v>55</v>
      </c>
      <c r="M30" s="28" t="s">
        <v>55</v>
      </c>
      <c r="N30" s="28" t="s">
        <v>55</v>
      </c>
      <c r="O30" s="28" t="s">
        <v>55</v>
      </c>
      <c r="P30" s="28" t="s">
        <v>55</v>
      </c>
      <c r="Q30" s="28" t="s">
        <v>55</v>
      </c>
      <c r="R30" s="28" t="s">
        <v>55</v>
      </c>
      <c r="S30" s="28" t="s">
        <v>55</v>
      </c>
      <c r="T30" s="28" t="s">
        <v>55</v>
      </c>
      <c r="U30" s="28" t="s">
        <v>55</v>
      </c>
      <c r="V30" s="28" t="s">
        <v>55</v>
      </c>
    </row>
    <row r="31" spans="1:22">
      <c r="A31" s="168"/>
      <c r="B31" s="12"/>
      <c r="C31" s="12" t="s">
        <v>112</v>
      </c>
      <c r="D31" s="12"/>
      <c r="E31" s="12"/>
      <c r="F31" s="28" t="s">
        <v>55</v>
      </c>
      <c r="G31" s="28" t="s">
        <v>55</v>
      </c>
      <c r="H31" s="28" t="s">
        <v>55</v>
      </c>
      <c r="I31" s="28" t="s">
        <v>55</v>
      </c>
      <c r="J31" s="28" t="s">
        <v>55</v>
      </c>
      <c r="K31" s="28" t="s">
        <v>55</v>
      </c>
      <c r="L31" s="28" t="s">
        <v>55</v>
      </c>
      <c r="M31" s="28" t="s">
        <v>55</v>
      </c>
      <c r="N31" s="28" t="s">
        <v>55</v>
      </c>
      <c r="O31" s="28" t="s">
        <v>55</v>
      </c>
      <c r="P31" s="28" t="s">
        <v>55</v>
      </c>
      <c r="Q31" s="28" t="s">
        <v>55</v>
      </c>
      <c r="R31" s="28" t="s">
        <v>55</v>
      </c>
      <c r="S31" s="28" t="s">
        <v>55</v>
      </c>
      <c r="T31" s="28" t="s">
        <v>55</v>
      </c>
      <c r="U31" s="28" t="s">
        <v>55</v>
      </c>
      <c r="V31" s="28" t="s">
        <v>55</v>
      </c>
    </row>
    <row r="32" spans="1:22">
      <c r="A32" s="168"/>
      <c r="B32" s="12"/>
      <c r="C32" s="12" t="s">
        <v>187</v>
      </c>
      <c r="D32" s="12"/>
      <c r="E32" s="12"/>
      <c r="F32" s="28" t="s">
        <v>55</v>
      </c>
      <c r="G32" s="28" t="s">
        <v>55</v>
      </c>
      <c r="H32" s="28" t="s">
        <v>55</v>
      </c>
      <c r="I32" s="28" t="s">
        <v>55</v>
      </c>
      <c r="J32" s="28" t="s">
        <v>55</v>
      </c>
      <c r="K32" s="28" t="s">
        <v>55</v>
      </c>
      <c r="L32" s="28" t="s">
        <v>55</v>
      </c>
      <c r="M32" s="28" t="s">
        <v>55</v>
      </c>
      <c r="N32" s="28" t="s">
        <v>55</v>
      </c>
      <c r="O32" s="28" t="s">
        <v>55</v>
      </c>
      <c r="P32" s="28" t="s">
        <v>55</v>
      </c>
      <c r="Q32" s="28" t="s">
        <v>55</v>
      </c>
      <c r="R32" s="28" t="s">
        <v>55</v>
      </c>
      <c r="S32" s="28" t="s">
        <v>55</v>
      </c>
      <c r="T32" s="28" t="s">
        <v>55</v>
      </c>
      <c r="U32" s="28" t="s">
        <v>55</v>
      </c>
      <c r="V32" s="28" t="s">
        <v>55</v>
      </c>
    </row>
    <row r="33" spans="1:23">
      <c r="A33" s="168"/>
      <c r="B33" s="12"/>
      <c r="C33" s="12" t="s">
        <v>11</v>
      </c>
      <c r="D33" s="12"/>
      <c r="E33" s="12"/>
      <c r="F33" s="28" t="s">
        <v>55</v>
      </c>
      <c r="G33" s="28" t="s">
        <v>55</v>
      </c>
      <c r="H33" s="28" t="s">
        <v>55</v>
      </c>
      <c r="I33" s="28" t="s">
        <v>55</v>
      </c>
      <c r="J33" s="28" t="s">
        <v>55</v>
      </c>
      <c r="K33" s="28" t="s">
        <v>55</v>
      </c>
      <c r="L33" s="28" t="s">
        <v>55</v>
      </c>
      <c r="M33" s="28" t="s">
        <v>55</v>
      </c>
      <c r="N33" s="28" t="s">
        <v>55</v>
      </c>
      <c r="O33" s="28" t="s">
        <v>55</v>
      </c>
      <c r="P33" s="28" t="s">
        <v>55</v>
      </c>
      <c r="Q33" s="28" t="s">
        <v>55</v>
      </c>
      <c r="R33" s="28" t="s">
        <v>55</v>
      </c>
      <c r="S33" s="28" t="s">
        <v>55</v>
      </c>
      <c r="T33" s="28" t="s">
        <v>55</v>
      </c>
      <c r="U33" s="28" t="s">
        <v>55</v>
      </c>
      <c r="V33" s="28" t="s">
        <v>55</v>
      </c>
    </row>
    <row r="34" spans="1:23">
      <c r="A34" s="168"/>
      <c r="B34" s="12"/>
      <c r="C34" s="12" t="s">
        <v>19</v>
      </c>
      <c r="D34" s="12"/>
      <c r="E34" s="12"/>
      <c r="F34" s="28" t="s">
        <v>55</v>
      </c>
      <c r="G34" s="28" t="s">
        <v>55</v>
      </c>
      <c r="H34" s="28" t="s">
        <v>55</v>
      </c>
      <c r="I34" s="28" t="s">
        <v>55</v>
      </c>
      <c r="J34" s="28" t="s">
        <v>55</v>
      </c>
      <c r="K34" s="28" t="s">
        <v>55</v>
      </c>
      <c r="L34" s="28" t="s">
        <v>55</v>
      </c>
      <c r="M34" s="28" t="s">
        <v>55</v>
      </c>
      <c r="N34" s="28" t="s">
        <v>55</v>
      </c>
      <c r="O34" s="28" t="s">
        <v>55</v>
      </c>
      <c r="P34" s="28" t="s">
        <v>55</v>
      </c>
      <c r="Q34" s="28" t="s">
        <v>55</v>
      </c>
      <c r="R34" s="28" t="s">
        <v>55</v>
      </c>
      <c r="S34" s="28" t="s">
        <v>55</v>
      </c>
      <c r="T34" s="28" t="s">
        <v>55</v>
      </c>
      <c r="U34" s="28" t="s">
        <v>55</v>
      </c>
      <c r="V34" s="28" t="s">
        <v>55</v>
      </c>
    </row>
    <row r="35" spans="1:23">
      <c r="A35" s="168"/>
      <c r="B35" s="14"/>
      <c r="C35" s="14" t="s">
        <v>20</v>
      </c>
      <c r="D35" s="14"/>
      <c r="E35" s="14"/>
      <c r="F35" s="29" t="s">
        <v>55</v>
      </c>
      <c r="G35" s="29" t="s">
        <v>55</v>
      </c>
      <c r="H35" s="29" t="s">
        <v>55</v>
      </c>
      <c r="I35" s="29" t="s">
        <v>55</v>
      </c>
      <c r="J35" s="29" t="s">
        <v>55</v>
      </c>
      <c r="K35" s="29" t="s">
        <v>55</v>
      </c>
      <c r="L35" s="29" t="s">
        <v>55</v>
      </c>
      <c r="M35" s="29" t="s">
        <v>55</v>
      </c>
      <c r="N35" s="29" t="s">
        <v>55</v>
      </c>
      <c r="O35" s="29" t="s">
        <v>55</v>
      </c>
      <c r="P35" s="29" t="s">
        <v>55</v>
      </c>
      <c r="Q35" s="29" t="s">
        <v>55</v>
      </c>
      <c r="R35" s="29" t="s">
        <v>55</v>
      </c>
      <c r="S35" s="29" t="s">
        <v>55</v>
      </c>
      <c r="T35" s="29" t="s">
        <v>55</v>
      </c>
      <c r="U35" s="29" t="s">
        <v>55</v>
      </c>
      <c r="V35" s="29" t="s">
        <v>55</v>
      </c>
    </row>
    <row r="36" spans="1:23" ht="22.5" customHeight="1">
      <c r="A36" s="168"/>
      <c r="B36" s="15"/>
      <c r="C36" s="15"/>
      <c r="D36" s="15"/>
      <c r="E36" s="15"/>
      <c r="F36" s="21"/>
      <c r="G36" s="21"/>
      <c r="H36" s="21"/>
      <c r="I36" s="21"/>
      <c r="J36" s="21"/>
      <c r="K36" s="21"/>
      <c r="L36" s="21"/>
      <c r="M36" s="21"/>
      <c r="N36" s="21"/>
      <c r="O36" s="21"/>
      <c r="P36" s="21"/>
      <c r="Q36" s="21"/>
      <c r="R36" s="21"/>
      <c r="S36" s="21"/>
      <c r="T36" s="21"/>
      <c r="U36" s="21"/>
      <c r="V36" s="21"/>
    </row>
    <row r="37" spans="1:23" ht="17.25" customHeight="1">
      <c r="A37" s="168">
        <v>60</v>
      </c>
      <c r="B37" s="11" t="s">
        <v>128</v>
      </c>
      <c r="C37" s="11"/>
      <c r="D37" s="11"/>
      <c r="E37" s="11"/>
      <c r="F37" s="26" t="s">
        <v>55</v>
      </c>
      <c r="G37" s="26" t="s">
        <v>55</v>
      </c>
      <c r="H37" s="26" t="s">
        <v>55</v>
      </c>
      <c r="I37" s="26" t="s">
        <v>55</v>
      </c>
      <c r="J37" s="26" t="s">
        <v>55</v>
      </c>
      <c r="K37" s="26" t="s">
        <v>55</v>
      </c>
      <c r="L37" s="26" t="s">
        <v>55</v>
      </c>
      <c r="M37" s="26" t="s">
        <v>55</v>
      </c>
      <c r="N37" s="26" t="s">
        <v>55</v>
      </c>
      <c r="O37" s="26" t="s">
        <v>55</v>
      </c>
      <c r="P37" s="26" t="s">
        <v>55</v>
      </c>
      <c r="Q37" s="26" t="s">
        <v>55</v>
      </c>
      <c r="R37" s="26" t="s">
        <v>55</v>
      </c>
      <c r="S37" s="26" t="s">
        <v>55</v>
      </c>
      <c r="T37" s="26" t="s">
        <v>55</v>
      </c>
      <c r="U37" s="26" t="s">
        <v>55</v>
      </c>
      <c r="V37" s="26" t="s">
        <v>55</v>
      </c>
    </row>
    <row r="38" spans="1:23">
      <c r="A38" s="168"/>
      <c r="B38" s="12"/>
      <c r="C38" s="12" t="s">
        <v>21</v>
      </c>
      <c r="D38" s="12"/>
      <c r="E38" s="12"/>
      <c r="F38" s="21">
        <v>10238</v>
      </c>
      <c r="G38" s="21">
        <v>11977</v>
      </c>
      <c r="H38" s="21">
        <v>2567</v>
      </c>
      <c r="I38" s="21">
        <v>1589</v>
      </c>
      <c r="J38" s="21">
        <v>1027</v>
      </c>
      <c r="K38" s="21">
        <v>1935</v>
      </c>
      <c r="L38" s="21">
        <v>6059</v>
      </c>
      <c r="M38" s="21">
        <v>1210</v>
      </c>
      <c r="N38" s="21">
        <v>8828.2292996692067</v>
      </c>
      <c r="O38" s="21">
        <v>17449</v>
      </c>
      <c r="P38" s="21">
        <v>3892</v>
      </c>
      <c r="Q38" s="21">
        <v>1047</v>
      </c>
      <c r="R38" s="21">
        <v>3304</v>
      </c>
      <c r="S38" s="21">
        <v>1771</v>
      </c>
      <c r="T38" s="21">
        <v>3551</v>
      </c>
      <c r="U38" s="21">
        <v>1744</v>
      </c>
      <c r="V38" s="21">
        <v>78188.229299669212</v>
      </c>
    </row>
    <row r="39" spans="1:23">
      <c r="A39" s="168"/>
      <c r="B39" s="12"/>
      <c r="C39" s="12"/>
      <c r="D39" s="12" t="s">
        <v>22</v>
      </c>
      <c r="E39" s="12"/>
      <c r="F39" s="21">
        <v>8734</v>
      </c>
      <c r="G39" s="21">
        <v>10544</v>
      </c>
      <c r="H39" s="21">
        <v>2068</v>
      </c>
      <c r="I39" s="21">
        <v>1589</v>
      </c>
      <c r="J39" s="21">
        <v>831</v>
      </c>
      <c r="K39" s="21">
        <v>1558</v>
      </c>
      <c r="L39" s="21">
        <v>5582</v>
      </c>
      <c r="M39" s="21">
        <v>1049</v>
      </c>
      <c r="N39" s="21">
        <v>7865.0864425263453</v>
      </c>
      <c r="O39" s="21">
        <v>16019</v>
      </c>
      <c r="P39" s="21">
        <v>3533</v>
      </c>
      <c r="Q39" s="21">
        <v>933</v>
      </c>
      <c r="R39" s="21">
        <v>2943</v>
      </c>
      <c r="S39" s="21">
        <v>1527</v>
      </c>
      <c r="T39" s="21">
        <v>2950</v>
      </c>
      <c r="U39" s="21">
        <v>1591</v>
      </c>
      <c r="V39" s="21">
        <v>69316.086442526343</v>
      </c>
    </row>
    <row r="40" spans="1:23">
      <c r="A40" s="168"/>
      <c r="B40" s="12"/>
      <c r="C40" s="12"/>
      <c r="D40" s="12" t="s">
        <v>23</v>
      </c>
      <c r="E40" s="12"/>
      <c r="F40" s="21">
        <v>1490</v>
      </c>
      <c r="G40" s="21">
        <v>1265</v>
      </c>
      <c r="H40" s="21">
        <v>499</v>
      </c>
      <c r="I40" s="21">
        <v>0</v>
      </c>
      <c r="J40" s="21">
        <v>196</v>
      </c>
      <c r="K40" s="21">
        <v>377</v>
      </c>
      <c r="L40" s="21">
        <v>477</v>
      </c>
      <c r="M40" s="21">
        <v>161</v>
      </c>
      <c r="N40" s="21">
        <v>963.14285714286143</v>
      </c>
      <c r="O40" s="21">
        <v>1430</v>
      </c>
      <c r="P40" s="21">
        <v>359</v>
      </c>
      <c r="Q40" s="21">
        <v>114</v>
      </c>
      <c r="R40" s="21">
        <v>318</v>
      </c>
      <c r="S40" s="21">
        <v>244</v>
      </c>
      <c r="T40" s="21">
        <v>589</v>
      </c>
      <c r="U40" s="21">
        <v>153</v>
      </c>
      <c r="V40" s="21">
        <v>8635.1428571428623</v>
      </c>
    </row>
    <row r="41" spans="1:23">
      <c r="A41" s="168"/>
      <c r="B41" s="12"/>
      <c r="C41" s="12"/>
      <c r="D41" s="12" t="s">
        <v>24</v>
      </c>
      <c r="E41" s="12"/>
      <c r="F41" s="21">
        <v>14</v>
      </c>
      <c r="G41" s="21">
        <v>168</v>
      </c>
      <c r="H41" s="21">
        <v>0</v>
      </c>
      <c r="I41" s="21">
        <v>0</v>
      </c>
      <c r="J41" s="21">
        <v>0</v>
      </c>
      <c r="K41" s="21">
        <v>0</v>
      </c>
      <c r="L41" s="21">
        <v>0</v>
      </c>
      <c r="M41" s="21">
        <v>0</v>
      </c>
      <c r="N41" s="21">
        <v>0</v>
      </c>
      <c r="O41" s="21">
        <v>0</v>
      </c>
      <c r="P41" s="21">
        <v>0</v>
      </c>
      <c r="Q41" s="21">
        <v>0</v>
      </c>
      <c r="R41" s="21">
        <v>43</v>
      </c>
      <c r="S41" s="21">
        <v>0</v>
      </c>
      <c r="T41" s="21">
        <v>12</v>
      </c>
      <c r="U41" s="21">
        <v>0</v>
      </c>
      <c r="V41" s="21">
        <v>237</v>
      </c>
    </row>
    <row r="42" spans="1:23">
      <c r="A42" s="168"/>
      <c r="B42" s="12"/>
      <c r="C42" s="12" t="s">
        <v>25</v>
      </c>
      <c r="D42" s="12"/>
      <c r="E42" s="12"/>
      <c r="F42" s="21">
        <v>1</v>
      </c>
      <c r="G42" s="21">
        <v>0</v>
      </c>
      <c r="H42" s="21">
        <v>0</v>
      </c>
      <c r="I42" s="21">
        <v>0</v>
      </c>
      <c r="J42" s="21">
        <v>0</v>
      </c>
      <c r="K42" s="21">
        <v>0</v>
      </c>
      <c r="L42" s="21">
        <v>0</v>
      </c>
      <c r="M42" s="21">
        <v>0</v>
      </c>
      <c r="N42" s="21">
        <v>0</v>
      </c>
      <c r="O42" s="21">
        <v>0</v>
      </c>
      <c r="P42" s="21">
        <v>0</v>
      </c>
      <c r="Q42" s="21">
        <v>0</v>
      </c>
      <c r="R42" s="21">
        <v>0</v>
      </c>
      <c r="S42" s="21">
        <v>0</v>
      </c>
      <c r="T42" s="21">
        <v>0</v>
      </c>
      <c r="U42" s="21">
        <v>0</v>
      </c>
      <c r="V42" s="21">
        <v>1</v>
      </c>
    </row>
    <row r="43" spans="1:23">
      <c r="A43" s="168"/>
      <c r="B43" s="12"/>
      <c r="C43" s="12" t="s">
        <v>26</v>
      </c>
      <c r="D43" s="12"/>
      <c r="E43" s="12"/>
      <c r="F43" s="21">
        <v>4687</v>
      </c>
      <c r="G43" s="21">
        <v>871</v>
      </c>
      <c r="H43" s="21">
        <v>559</v>
      </c>
      <c r="I43" s="21">
        <v>248</v>
      </c>
      <c r="J43" s="21">
        <v>160</v>
      </c>
      <c r="K43" s="21">
        <v>219</v>
      </c>
      <c r="L43" s="21">
        <v>949</v>
      </c>
      <c r="M43" s="21">
        <v>499</v>
      </c>
      <c r="N43" s="21">
        <v>1951.7707003378828</v>
      </c>
      <c r="O43" s="21">
        <v>4631</v>
      </c>
      <c r="P43" s="21">
        <v>988</v>
      </c>
      <c r="Q43" s="21">
        <v>193</v>
      </c>
      <c r="R43" s="21">
        <v>1271</v>
      </c>
      <c r="S43" s="21">
        <v>362</v>
      </c>
      <c r="T43" s="21">
        <v>609</v>
      </c>
      <c r="U43" s="21">
        <v>738</v>
      </c>
      <c r="V43" s="21">
        <v>18935.770700337882</v>
      </c>
    </row>
    <row r="44" spans="1:23">
      <c r="A44" s="168"/>
      <c r="B44" s="12"/>
      <c r="C44" s="12" t="s">
        <v>27</v>
      </c>
      <c r="D44" s="12"/>
      <c r="E44" s="12"/>
      <c r="F44" s="21">
        <v>38</v>
      </c>
      <c r="G44" s="21">
        <v>279</v>
      </c>
      <c r="H44" s="21">
        <v>37</v>
      </c>
      <c r="I44" s="21">
        <v>0</v>
      </c>
      <c r="J44" s="21">
        <v>3</v>
      </c>
      <c r="K44" s="21">
        <v>10</v>
      </c>
      <c r="L44" s="21">
        <v>0</v>
      </c>
      <c r="M44" s="21">
        <v>0</v>
      </c>
      <c r="N44" s="21">
        <v>0.99999999999999956</v>
      </c>
      <c r="O44" s="21">
        <v>0</v>
      </c>
      <c r="P44" s="21">
        <v>69</v>
      </c>
      <c r="Q44" s="21">
        <v>0</v>
      </c>
      <c r="R44" s="21">
        <v>0</v>
      </c>
      <c r="S44" s="21">
        <v>0</v>
      </c>
      <c r="T44" s="21">
        <v>34</v>
      </c>
      <c r="U44" s="21">
        <v>0</v>
      </c>
      <c r="V44" s="21">
        <v>471</v>
      </c>
    </row>
    <row r="45" spans="1:23">
      <c r="A45" s="168"/>
      <c r="B45" s="12"/>
      <c r="C45" s="12" t="s">
        <v>28</v>
      </c>
      <c r="D45" s="12"/>
      <c r="E45" s="12"/>
      <c r="F45" s="28" t="s">
        <v>55</v>
      </c>
      <c r="G45" s="28" t="s">
        <v>55</v>
      </c>
      <c r="H45" s="28" t="s">
        <v>55</v>
      </c>
      <c r="I45" s="28" t="s">
        <v>55</v>
      </c>
      <c r="J45" s="28" t="s">
        <v>55</v>
      </c>
      <c r="K45" s="28" t="s">
        <v>55</v>
      </c>
      <c r="L45" s="28" t="s">
        <v>55</v>
      </c>
      <c r="M45" s="28" t="s">
        <v>55</v>
      </c>
      <c r="N45" s="28" t="s">
        <v>55</v>
      </c>
      <c r="O45" s="28" t="s">
        <v>55</v>
      </c>
      <c r="P45" s="28" t="s">
        <v>55</v>
      </c>
      <c r="Q45" s="28" t="s">
        <v>55</v>
      </c>
      <c r="R45" s="28" t="s">
        <v>55</v>
      </c>
      <c r="S45" s="28" t="s">
        <v>55</v>
      </c>
      <c r="T45" s="28" t="s">
        <v>55</v>
      </c>
      <c r="U45" s="28" t="s">
        <v>55</v>
      </c>
      <c r="V45" s="28" t="s">
        <v>55</v>
      </c>
    </row>
    <row r="46" spans="1:23">
      <c r="A46" s="168"/>
      <c r="B46" s="12"/>
      <c r="C46" s="12" t="s">
        <v>29</v>
      </c>
      <c r="D46" s="12"/>
      <c r="E46" s="12"/>
      <c r="F46" s="21">
        <v>0</v>
      </c>
      <c r="G46" s="21">
        <v>2104</v>
      </c>
      <c r="H46" s="21">
        <v>163</v>
      </c>
      <c r="I46" s="21">
        <v>136</v>
      </c>
      <c r="J46" s="21">
        <v>50</v>
      </c>
      <c r="K46" s="21">
        <v>14</v>
      </c>
      <c r="L46" s="21">
        <v>765</v>
      </c>
      <c r="M46" s="21">
        <v>1</v>
      </c>
      <c r="N46" s="21">
        <v>715.99999999998909</v>
      </c>
      <c r="O46" s="21">
        <v>700</v>
      </c>
      <c r="P46" s="21">
        <v>115</v>
      </c>
      <c r="Q46" s="21">
        <v>174</v>
      </c>
      <c r="R46" s="21">
        <v>304</v>
      </c>
      <c r="S46" s="21">
        <v>125</v>
      </c>
      <c r="T46" s="21">
        <v>32</v>
      </c>
      <c r="U46" s="21">
        <v>79</v>
      </c>
      <c r="V46" s="21">
        <v>5477.9999999999891</v>
      </c>
    </row>
    <row r="47" spans="1:23">
      <c r="A47" s="168"/>
      <c r="B47" s="12"/>
      <c r="C47" s="12" t="s">
        <v>30</v>
      </c>
      <c r="D47" s="12"/>
      <c r="E47" s="12"/>
      <c r="F47" s="21">
        <v>873</v>
      </c>
      <c r="G47" s="21">
        <v>721</v>
      </c>
      <c r="H47" s="21">
        <v>583</v>
      </c>
      <c r="I47" s="21">
        <v>299</v>
      </c>
      <c r="J47" s="21">
        <v>80</v>
      </c>
      <c r="K47" s="21">
        <v>183</v>
      </c>
      <c r="L47" s="21">
        <v>736</v>
      </c>
      <c r="M47" s="21">
        <v>100</v>
      </c>
      <c r="N47" s="21">
        <v>751.99999999999238</v>
      </c>
      <c r="O47" s="21">
        <v>2155</v>
      </c>
      <c r="P47" s="21">
        <v>566</v>
      </c>
      <c r="Q47" s="21">
        <v>139</v>
      </c>
      <c r="R47" s="21">
        <v>486</v>
      </c>
      <c r="S47" s="21">
        <v>273</v>
      </c>
      <c r="T47" s="21">
        <v>301</v>
      </c>
      <c r="U47" s="21">
        <v>240</v>
      </c>
      <c r="V47" s="21">
        <v>8486.9999999999927</v>
      </c>
    </row>
    <row r="48" spans="1:23">
      <c r="A48" s="168"/>
      <c r="B48" s="12"/>
      <c r="C48" s="12" t="s">
        <v>31</v>
      </c>
      <c r="D48" s="12"/>
      <c r="E48" s="12"/>
      <c r="F48" s="29" t="s">
        <v>55</v>
      </c>
      <c r="G48" s="29" t="s">
        <v>55</v>
      </c>
      <c r="H48" s="29" t="s">
        <v>55</v>
      </c>
      <c r="I48" s="29" t="s">
        <v>55</v>
      </c>
      <c r="J48" s="29" t="s">
        <v>55</v>
      </c>
      <c r="K48" s="29" t="s">
        <v>55</v>
      </c>
      <c r="L48" s="29" t="s">
        <v>55</v>
      </c>
      <c r="M48" s="29" t="s">
        <v>55</v>
      </c>
      <c r="N48" s="29" t="s">
        <v>55</v>
      </c>
      <c r="O48" s="29" t="s">
        <v>55</v>
      </c>
      <c r="P48" s="29" t="s">
        <v>55</v>
      </c>
      <c r="Q48" s="29" t="s">
        <v>55</v>
      </c>
      <c r="R48" s="29" t="s">
        <v>55</v>
      </c>
      <c r="S48" s="29" t="s">
        <v>55</v>
      </c>
      <c r="T48" s="29" t="s">
        <v>55</v>
      </c>
      <c r="U48" s="29" t="s">
        <v>55</v>
      </c>
      <c r="V48" s="29" t="s">
        <v>55</v>
      </c>
      <c r="W48" s="43"/>
    </row>
    <row r="49" spans="1:22" ht="24" customHeight="1">
      <c r="A49" s="168"/>
      <c r="B49" s="183" t="s">
        <v>129</v>
      </c>
      <c r="C49" s="183"/>
      <c r="D49" s="183"/>
      <c r="E49" s="183"/>
      <c r="F49" s="30" t="s">
        <v>55</v>
      </c>
      <c r="G49" s="30" t="s">
        <v>55</v>
      </c>
      <c r="H49" s="30" t="s">
        <v>55</v>
      </c>
      <c r="I49" s="30" t="s">
        <v>55</v>
      </c>
      <c r="J49" s="30" t="s">
        <v>55</v>
      </c>
      <c r="K49" s="30" t="s">
        <v>55</v>
      </c>
      <c r="L49" s="30" t="s">
        <v>55</v>
      </c>
      <c r="M49" s="30" t="s">
        <v>55</v>
      </c>
      <c r="N49" s="30" t="s">
        <v>55</v>
      </c>
      <c r="O49" s="30" t="s">
        <v>55</v>
      </c>
      <c r="P49" s="30" t="s">
        <v>55</v>
      </c>
      <c r="Q49" s="30" t="s">
        <v>55</v>
      </c>
      <c r="R49" s="30" t="s">
        <v>55</v>
      </c>
      <c r="S49" s="30" t="s">
        <v>55</v>
      </c>
      <c r="T49" s="30" t="s">
        <v>55</v>
      </c>
      <c r="U49" s="30" t="s">
        <v>55</v>
      </c>
      <c r="V49" s="30" t="s">
        <v>55</v>
      </c>
    </row>
    <row r="50" spans="1:22">
      <c r="A50" s="168"/>
      <c r="B50" s="12"/>
      <c r="C50" s="12" t="s">
        <v>21</v>
      </c>
      <c r="D50" s="12"/>
      <c r="E50" s="12"/>
      <c r="F50" s="21">
        <v>1504</v>
      </c>
      <c r="G50" s="21">
        <v>1433</v>
      </c>
      <c r="H50" s="21">
        <v>409</v>
      </c>
      <c r="I50" s="21">
        <v>0</v>
      </c>
      <c r="J50" s="21">
        <v>151</v>
      </c>
      <c r="K50" s="21">
        <v>328</v>
      </c>
      <c r="L50" s="21">
        <v>477</v>
      </c>
      <c r="M50" s="21">
        <v>76</v>
      </c>
      <c r="N50" s="21">
        <v>938.14285714286143</v>
      </c>
      <c r="O50" s="21">
        <v>1430</v>
      </c>
      <c r="P50" s="21">
        <v>359</v>
      </c>
      <c r="Q50" s="21">
        <v>114</v>
      </c>
      <c r="R50" s="21">
        <v>272</v>
      </c>
      <c r="S50" s="21">
        <v>244</v>
      </c>
      <c r="T50" s="21">
        <v>495</v>
      </c>
      <c r="U50" s="21">
        <v>153</v>
      </c>
      <c r="V50" s="21">
        <v>8383.1428571428623</v>
      </c>
    </row>
    <row r="51" spans="1:22">
      <c r="A51" s="168"/>
      <c r="B51" s="12"/>
      <c r="C51" s="12"/>
      <c r="D51" s="12" t="s">
        <v>23</v>
      </c>
      <c r="E51" s="12"/>
      <c r="F51" s="21">
        <v>1490</v>
      </c>
      <c r="G51" s="21">
        <v>1265</v>
      </c>
      <c r="H51" s="21">
        <v>409</v>
      </c>
      <c r="I51" s="21">
        <v>0</v>
      </c>
      <c r="J51" s="21">
        <v>151</v>
      </c>
      <c r="K51" s="21">
        <v>328</v>
      </c>
      <c r="L51" s="21">
        <v>477</v>
      </c>
      <c r="M51" s="21">
        <v>76</v>
      </c>
      <c r="N51" s="21">
        <v>938.14285714286143</v>
      </c>
      <c r="O51" s="21">
        <v>1430</v>
      </c>
      <c r="P51" s="21">
        <v>359</v>
      </c>
      <c r="Q51" s="21">
        <v>114</v>
      </c>
      <c r="R51" s="21">
        <v>229</v>
      </c>
      <c r="S51" s="21">
        <v>244</v>
      </c>
      <c r="T51" s="21">
        <v>483</v>
      </c>
      <c r="U51" s="21">
        <v>153</v>
      </c>
      <c r="V51" s="21">
        <v>8146.1428571428614</v>
      </c>
    </row>
    <row r="52" spans="1:22">
      <c r="A52" s="168"/>
      <c r="B52" s="12"/>
      <c r="C52" s="12"/>
      <c r="D52" s="12" t="s">
        <v>24</v>
      </c>
      <c r="E52" s="12"/>
      <c r="F52" s="21">
        <v>14</v>
      </c>
      <c r="G52" s="21">
        <v>168</v>
      </c>
      <c r="H52" s="21">
        <v>0</v>
      </c>
      <c r="I52" s="21">
        <v>0</v>
      </c>
      <c r="J52" s="21">
        <v>0</v>
      </c>
      <c r="K52" s="21">
        <v>0</v>
      </c>
      <c r="L52" s="21">
        <v>0</v>
      </c>
      <c r="M52" s="21">
        <v>0</v>
      </c>
      <c r="N52" s="21">
        <v>0</v>
      </c>
      <c r="O52" s="21">
        <v>0</v>
      </c>
      <c r="P52" s="21">
        <v>0</v>
      </c>
      <c r="Q52" s="21">
        <v>0</v>
      </c>
      <c r="R52" s="21">
        <v>43</v>
      </c>
      <c r="S52" s="21">
        <v>0</v>
      </c>
      <c r="T52" s="21">
        <v>12</v>
      </c>
      <c r="U52" s="21">
        <v>0</v>
      </c>
      <c r="V52" s="21">
        <v>237</v>
      </c>
    </row>
    <row r="53" spans="1:22">
      <c r="A53" s="168"/>
      <c r="B53" s="12"/>
      <c r="C53" s="12" t="s">
        <v>25</v>
      </c>
      <c r="D53" s="12"/>
      <c r="E53" s="12"/>
      <c r="F53" s="21">
        <v>1</v>
      </c>
      <c r="G53" s="21">
        <v>0</v>
      </c>
      <c r="H53" s="21">
        <v>0</v>
      </c>
      <c r="I53" s="21">
        <v>0</v>
      </c>
      <c r="J53" s="21">
        <v>0</v>
      </c>
      <c r="K53" s="21">
        <v>0</v>
      </c>
      <c r="L53" s="21">
        <v>0</v>
      </c>
      <c r="M53" s="21">
        <v>0</v>
      </c>
      <c r="N53" s="21">
        <v>0</v>
      </c>
      <c r="O53" s="21">
        <v>0</v>
      </c>
      <c r="P53" s="21">
        <v>0</v>
      </c>
      <c r="Q53" s="21">
        <v>0</v>
      </c>
      <c r="R53" s="21">
        <v>0</v>
      </c>
      <c r="S53" s="21">
        <v>0</v>
      </c>
      <c r="T53" s="21">
        <v>0</v>
      </c>
      <c r="U53" s="21">
        <v>0</v>
      </c>
      <c r="V53" s="21">
        <v>1</v>
      </c>
    </row>
    <row r="54" spans="1:22">
      <c r="A54" s="168"/>
      <c r="B54" s="12"/>
      <c r="C54" s="12" t="s">
        <v>26</v>
      </c>
      <c r="D54" s="12"/>
      <c r="E54" s="12"/>
      <c r="F54" s="21">
        <v>3178</v>
      </c>
      <c r="G54" s="21">
        <v>838</v>
      </c>
      <c r="H54" s="21">
        <v>559</v>
      </c>
      <c r="I54" s="21">
        <v>248</v>
      </c>
      <c r="J54" s="21">
        <v>157</v>
      </c>
      <c r="K54" s="21">
        <v>217</v>
      </c>
      <c r="L54" s="21">
        <v>949</v>
      </c>
      <c r="M54" s="21">
        <v>494</v>
      </c>
      <c r="N54" s="21">
        <v>1869.770700337883</v>
      </c>
      <c r="O54" s="21">
        <v>4631</v>
      </c>
      <c r="P54" s="21">
        <v>988</v>
      </c>
      <c r="Q54" s="21">
        <v>193</v>
      </c>
      <c r="R54" s="21">
        <v>1211</v>
      </c>
      <c r="S54" s="21">
        <v>357</v>
      </c>
      <c r="T54" s="21">
        <v>609</v>
      </c>
      <c r="U54" s="21">
        <v>706</v>
      </c>
      <c r="V54" s="21">
        <v>17204.770700337882</v>
      </c>
    </row>
    <row r="55" spans="1:22">
      <c r="A55" s="168"/>
      <c r="B55" s="12"/>
      <c r="C55" s="12" t="s">
        <v>27</v>
      </c>
      <c r="D55" s="12"/>
      <c r="E55" s="12"/>
      <c r="F55" s="21">
        <v>38</v>
      </c>
      <c r="G55" s="21">
        <v>278</v>
      </c>
      <c r="H55" s="21">
        <v>34</v>
      </c>
      <c r="I55" s="21">
        <v>0</v>
      </c>
      <c r="J55" s="21">
        <v>3</v>
      </c>
      <c r="K55" s="21">
        <v>10</v>
      </c>
      <c r="L55" s="21">
        <v>0</v>
      </c>
      <c r="M55" s="21">
        <v>0</v>
      </c>
      <c r="N55" s="21">
        <v>0.99999999999999956</v>
      </c>
      <c r="O55" s="21">
        <v>0</v>
      </c>
      <c r="P55" s="21">
        <v>34</v>
      </c>
      <c r="Q55" s="21">
        <v>0</v>
      </c>
      <c r="R55" s="21">
        <v>0</v>
      </c>
      <c r="S55" s="21">
        <v>0</v>
      </c>
      <c r="T55" s="21">
        <v>34</v>
      </c>
      <c r="U55" s="21">
        <v>0</v>
      </c>
      <c r="V55" s="21">
        <v>432</v>
      </c>
    </row>
    <row r="56" spans="1:22">
      <c r="A56" s="168"/>
      <c r="B56" s="12"/>
      <c r="C56" s="12" t="s">
        <v>28</v>
      </c>
      <c r="D56" s="12"/>
      <c r="E56" s="12"/>
      <c r="F56" s="28" t="s">
        <v>55</v>
      </c>
      <c r="G56" s="28" t="s">
        <v>55</v>
      </c>
      <c r="H56" s="28" t="s">
        <v>55</v>
      </c>
      <c r="I56" s="28" t="s">
        <v>55</v>
      </c>
      <c r="J56" s="28" t="s">
        <v>55</v>
      </c>
      <c r="K56" s="28" t="s">
        <v>55</v>
      </c>
      <c r="L56" s="28" t="s">
        <v>55</v>
      </c>
      <c r="M56" s="28" t="s">
        <v>55</v>
      </c>
      <c r="N56" s="28" t="s">
        <v>55</v>
      </c>
      <c r="O56" s="28" t="s">
        <v>55</v>
      </c>
      <c r="P56" s="28" t="s">
        <v>55</v>
      </c>
      <c r="Q56" s="28" t="s">
        <v>55</v>
      </c>
      <c r="R56" s="28" t="s">
        <v>55</v>
      </c>
      <c r="S56" s="28" t="s">
        <v>55</v>
      </c>
      <c r="T56" s="28" t="s">
        <v>55</v>
      </c>
      <c r="U56" s="28" t="s">
        <v>55</v>
      </c>
      <c r="V56" s="28" t="s">
        <v>55</v>
      </c>
    </row>
    <row r="57" spans="1:22">
      <c r="A57" s="168"/>
      <c r="B57" s="12"/>
      <c r="C57" s="12" t="s">
        <v>29</v>
      </c>
      <c r="D57" s="12"/>
      <c r="E57" s="12"/>
      <c r="F57" s="21">
        <v>0</v>
      </c>
      <c r="G57" s="21">
        <v>1246</v>
      </c>
      <c r="H57" s="21">
        <v>159</v>
      </c>
      <c r="I57" s="21">
        <v>136</v>
      </c>
      <c r="J57" s="21">
        <v>40</v>
      </c>
      <c r="K57" s="21">
        <v>14</v>
      </c>
      <c r="L57" s="21">
        <v>762</v>
      </c>
      <c r="M57" s="21">
        <v>1</v>
      </c>
      <c r="N57" s="21">
        <v>372.99999999999284</v>
      </c>
      <c r="O57" s="21">
        <v>355</v>
      </c>
      <c r="P57" s="21">
        <v>115</v>
      </c>
      <c r="Q57" s="21">
        <v>172</v>
      </c>
      <c r="R57" s="21">
        <v>304</v>
      </c>
      <c r="S57" s="21">
        <v>125</v>
      </c>
      <c r="T57" s="21">
        <v>28</v>
      </c>
      <c r="U57" s="21">
        <v>79</v>
      </c>
      <c r="V57" s="21">
        <v>3908.9999999999927</v>
      </c>
    </row>
    <row r="58" spans="1:22">
      <c r="A58" s="168"/>
      <c r="B58" s="12"/>
      <c r="C58" s="12" t="s">
        <v>30</v>
      </c>
      <c r="D58" s="12"/>
      <c r="E58" s="12"/>
      <c r="F58" s="21">
        <v>443</v>
      </c>
      <c r="G58" s="21">
        <v>635</v>
      </c>
      <c r="H58" s="21">
        <v>186</v>
      </c>
      <c r="I58" s="21">
        <v>165.81</v>
      </c>
      <c r="J58" s="21">
        <v>64</v>
      </c>
      <c r="K58" s="21">
        <v>118</v>
      </c>
      <c r="L58" s="21">
        <v>540</v>
      </c>
      <c r="M58" s="21">
        <v>81</v>
      </c>
      <c r="N58" s="21">
        <v>525.99999999999613</v>
      </c>
      <c r="O58" s="21">
        <v>1308</v>
      </c>
      <c r="P58" s="21">
        <v>232</v>
      </c>
      <c r="Q58" s="21">
        <v>101</v>
      </c>
      <c r="R58" s="21">
        <v>377</v>
      </c>
      <c r="S58" s="21">
        <v>181</v>
      </c>
      <c r="T58" s="21">
        <v>241</v>
      </c>
      <c r="U58" s="21">
        <v>188</v>
      </c>
      <c r="V58" s="21">
        <v>5386.8099999999959</v>
      </c>
    </row>
    <row r="59" spans="1:22">
      <c r="A59" s="168"/>
      <c r="B59" s="13"/>
      <c r="C59" s="13" t="s">
        <v>31</v>
      </c>
      <c r="D59" s="13"/>
      <c r="E59" s="13"/>
      <c r="F59" s="29" t="s">
        <v>55</v>
      </c>
      <c r="G59" s="29" t="s">
        <v>55</v>
      </c>
      <c r="H59" s="29" t="s">
        <v>55</v>
      </c>
      <c r="I59" s="29" t="s">
        <v>55</v>
      </c>
      <c r="J59" s="29" t="s">
        <v>55</v>
      </c>
      <c r="K59" s="29" t="s">
        <v>55</v>
      </c>
      <c r="L59" s="29" t="s">
        <v>55</v>
      </c>
      <c r="M59" s="29" t="s">
        <v>55</v>
      </c>
      <c r="N59" s="29" t="s">
        <v>55</v>
      </c>
      <c r="O59" s="29" t="s">
        <v>55</v>
      </c>
      <c r="P59" s="29" t="s">
        <v>55</v>
      </c>
      <c r="Q59" s="29" t="s">
        <v>55</v>
      </c>
      <c r="R59" s="29" t="s">
        <v>55</v>
      </c>
      <c r="S59" s="29" t="s">
        <v>55</v>
      </c>
      <c r="T59" s="29" t="s">
        <v>55</v>
      </c>
      <c r="U59" s="29" t="s">
        <v>55</v>
      </c>
      <c r="V59" s="29" t="s">
        <v>55</v>
      </c>
    </row>
    <row r="60" spans="1:22" ht="27" customHeight="1">
      <c r="A60" s="168"/>
      <c r="B60" s="183" t="s">
        <v>130</v>
      </c>
      <c r="C60" s="183"/>
      <c r="D60" s="183"/>
      <c r="E60" s="183"/>
      <c r="F60" s="30" t="s">
        <v>55</v>
      </c>
      <c r="G60" s="30" t="s">
        <v>55</v>
      </c>
      <c r="H60" s="30" t="s">
        <v>55</v>
      </c>
      <c r="I60" s="30" t="s">
        <v>55</v>
      </c>
      <c r="J60" s="30" t="s">
        <v>55</v>
      </c>
      <c r="K60" s="30" t="s">
        <v>55</v>
      </c>
      <c r="L60" s="30" t="s">
        <v>55</v>
      </c>
      <c r="M60" s="30" t="s">
        <v>55</v>
      </c>
      <c r="N60" s="30" t="s">
        <v>55</v>
      </c>
      <c r="O60" s="30" t="s">
        <v>55</v>
      </c>
      <c r="P60" s="30" t="s">
        <v>55</v>
      </c>
      <c r="Q60" s="30" t="s">
        <v>55</v>
      </c>
      <c r="R60" s="30" t="s">
        <v>55</v>
      </c>
      <c r="S60" s="30" t="s">
        <v>55</v>
      </c>
      <c r="T60" s="30" t="s">
        <v>55</v>
      </c>
      <c r="U60" s="30" t="s">
        <v>55</v>
      </c>
      <c r="V60" s="30" t="s">
        <v>55</v>
      </c>
    </row>
    <row r="61" spans="1:22">
      <c r="A61" s="168"/>
      <c r="B61" s="12"/>
      <c r="C61" s="12" t="s">
        <v>21</v>
      </c>
      <c r="D61" s="12"/>
      <c r="E61" s="12"/>
      <c r="F61" s="21">
        <v>8734</v>
      </c>
      <c r="G61" s="21">
        <v>10544</v>
      </c>
      <c r="H61" s="21">
        <v>2158</v>
      </c>
      <c r="I61" s="21">
        <v>1589</v>
      </c>
      <c r="J61" s="21">
        <v>876</v>
      </c>
      <c r="K61" s="21">
        <v>1607</v>
      </c>
      <c r="L61" s="21">
        <v>5582</v>
      </c>
      <c r="M61" s="21">
        <v>1134</v>
      </c>
      <c r="N61" s="21">
        <v>7890.0864425263453</v>
      </c>
      <c r="O61" s="21">
        <v>16019</v>
      </c>
      <c r="P61" s="21">
        <v>3533</v>
      </c>
      <c r="Q61" s="21">
        <v>933</v>
      </c>
      <c r="R61" s="21">
        <v>3032</v>
      </c>
      <c r="S61" s="21">
        <v>1527</v>
      </c>
      <c r="T61" s="21">
        <v>3056</v>
      </c>
      <c r="U61" s="21">
        <v>1591</v>
      </c>
      <c r="V61" s="21">
        <v>69805.086442526343</v>
      </c>
    </row>
    <row r="62" spans="1:22">
      <c r="A62" s="168"/>
      <c r="B62" s="12"/>
      <c r="C62" s="12"/>
      <c r="D62" s="12" t="s">
        <v>22</v>
      </c>
      <c r="E62" s="12"/>
      <c r="F62" s="21">
        <v>8734</v>
      </c>
      <c r="G62" s="21">
        <v>10544</v>
      </c>
      <c r="H62" s="21">
        <v>2068</v>
      </c>
      <c r="I62" s="21">
        <v>1589</v>
      </c>
      <c r="J62" s="21">
        <v>831</v>
      </c>
      <c r="K62" s="21">
        <v>1558</v>
      </c>
      <c r="L62" s="21">
        <v>5582</v>
      </c>
      <c r="M62" s="21">
        <v>1049</v>
      </c>
      <c r="N62" s="21">
        <v>7865.0864425263453</v>
      </c>
      <c r="O62" s="21">
        <v>16019</v>
      </c>
      <c r="P62" s="21">
        <v>3533</v>
      </c>
      <c r="Q62" s="21">
        <v>933</v>
      </c>
      <c r="R62" s="21">
        <v>2943</v>
      </c>
      <c r="S62" s="21">
        <v>1527</v>
      </c>
      <c r="T62" s="21">
        <v>2950</v>
      </c>
      <c r="U62" s="21">
        <v>1591</v>
      </c>
      <c r="V62" s="21">
        <v>69316.086442526343</v>
      </c>
    </row>
    <row r="63" spans="1:22">
      <c r="A63" s="168"/>
      <c r="B63" s="12"/>
      <c r="C63" s="12"/>
      <c r="D63" s="12" t="s">
        <v>23</v>
      </c>
      <c r="E63" s="12"/>
      <c r="F63" s="21">
        <v>0</v>
      </c>
      <c r="G63" s="21">
        <v>0</v>
      </c>
      <c r="H63" s="21">
        <v>90</v>
      </c>
      <c r="I63" s="21">
        <v>0</v>
      </c>
      <c r="J63" s="21">
        <v>45</v>
      </c>
      <c r="K63" s="21">
        <v>49</v>
      </c>
      <c r="L63" s="21">
        <v>0</v>
      </c>
      <c r="M63" s="21">
        <v>85</v>
      </c>
      <c r="N63" s="21">
        <v>25.00000000000005</v>
      </c>
      <c r="O63" s="21">
        <v>0</v>
      </c>
      <c r="P63" s="21">
        <v>0</v>
      </c>
      <c r="Q63" s="21">
        <v>0</v>
      </c>
      <c r="R63" s="21">
        <v>89</v>
      </c>
      <c r="S63" s="21">
        <v>0</v>
      </c>
      <c r="T63" s="21">
        <v>106</v>
      </c>
      <c r="U63" s="21">
        <v>0</v>
      </c>
      <c r="V63" s="21">
        <v>489.00000000000006</v>
      </c>
    </row>
    <row r="64" spans="1:22">
      <c r="A64" s="168"/>
      <c r="B64" s="12"/>
      <c r="C64" s="12" t="s">
        <v>25</v>
      </c>
      <c r="D64" s="12"/>
      <c r="E64" s="12"/>
      <c r="F64" s="21">
        <v>0</v>
      </c>
      <c r="G64" s="21">
        <v>0</v>
      </c>
      <c r="H64" s="21">
        <v>0</v>
      </c>
      <c r="I64" s="21">
        <v>0</v>
      </c>
      <c r="J64" s="21">
        <v>0</v>
      </c>
      <c r="K64" s="21">
        <v>0</v>
      </c>
      <c r="L64" s="21">
        <v>0</v>
      </c>
      <c r="M64" s="21">
        <v>0</v>
      </c>
      <c r="N64" s="21">
        <v>0</v>
      </c>
      <c r="O64" s="21">
        <v>0</v>
      </c>
      <c r="P64" s="21">
        <v>0</v>
      </c>
      <c r="Q64" s="21">
        <v>0</v>
      </c>
      <c r="R64" s="21">
        <v>0</v>
      </c>
      <c r="S64" s="21">
        <v>0</v>
      </c>
      <c r="T64" s="21">
        <v>0</v>
      </c>
      <c r="U64" s="21">
        <v>0</v>
      </c>
      <c r="V64" s="21">
        <v>0</v>
      </c>
    </row>
    <row r="65" spans="1:28">
      <c r="A65" s="168"/>
      <c r="B65" s="12"/>
      <c r="C65" s="12" t="s">
        <v>26</v>
      </c>
      <c r="D65" s="12"/>
      <c r="E65" s="12"/>
      <c r="F65" s="21">
        <v>1509</v>
      </c>
      <c r="G65" s="21">
        <v>33</v>
      </c>
      <c r="H65" s="21">
        <v>0</v>
      </c>
      <c r="I65" s="21">
        <v>0</v>
      </c>
      <c r="J65" s="21">
        <v>3</v>
      </c>
      <c r="K65" s="21">
        <v>2</v>
      </c>
      <c r="L65" s="21">
        <v>0</v>
      </c>
      <c r="M65" s="21">
        <v>5</v>
      </c>
      <c r="N65" s="21">
        <v>81.999999999999787</v>
      </c>
      <c r="O65" s="21">
        <v>0</v>
      </c>
      <c r="P65" s="21">
        <v>0</v>
      </c>
      <c r="Q65" s="21">
        <v>0</v>
      </c>
      <c r="R65" s="21">
        <v>60</v>
      </c>
      <c r="S65" s="21">
        <v>5</v>
      </c>
      <c r="T65" s="21">
        <v>0</v>
      </c>
      <c r="U65" s="21">
        <v>32</v>
      </c>
      <c r="V65" s="21">
        <v>1730.9999999999998</v>
      </c>
    </row>
    <row r="66" spans="1:28">
      <c r="A66" s="168"/>
      <c r="B66" s="12"/>
      <c r="C66" s="12" t="s">
        <v>27</v>
      </c>
      <c r="D66" s="12"/>
      <c r="E66" s="12"/>
      <c r="F66" s="21">
        <v>0</v>
      </c>
      <c r="G66" s="21">
        <v>1</v>
      </c>
      <c r="H66" s="21">
        <v>3</v>
      </c>
      <c r="I66" s="21">
        <v>0</v>
      </c>
      <c r="J66" s="21">
        <v>0</v>
      </c>
      <c r="K66" s="21">
        <v>0</v>
      </c>
      <c r="L66" s="21">
        <v>0</v>
      </c>
      <c r="M66" s="21">
        <v>0</v>
      </c>
      <c r="N66" s="21">
        <v>0</v>
      </c>
      <c r="O66" s="21">
        <v>0</v>
      </c>
      <c r="P66" s="21">
        <v>35</v>
      </c>
      <c r="Q66" s="21">
        <v>0</v>
      </c>
      <c r="R66" s="21">
        <v>0</v>
      </c>
      <c r="S66" s="21">
        <v>0</v>
      </c>
      <c r="T66" s="21">
        <v>0</v>
      </c>
      <c r="U66" s="21">
        <v>0</v>
      </c>
      <c r="V66" s="21">
        <v>39</v>
      </c>
    </row>
    <row r="67" spans="1:28">
      <c r="A67" s="168"/>
      <c r="B67" s="12"/>
      <c r="C67" s="12" t="s">
        <v>29</v>
      </c>
      <c r="D67" s="12"/>
      <c r="E67" s="12"/>
      <c r="F67" s="21">
        <v>0</v>
      </c>
      <c r="G67" s="21">
        <v>858</v>
      </c>
      <c r="H67" s="21">
        <v>4</v>
      </c>
      <c r="I67" s="21">
        <v>0</v>
      </c>
      <c r="J67" s="21">
        <v>10</v>
      </c>
      <c r="K67" s="21">
        <v>0</v>
      </c>
      <c r="L67" s="21">
        <v>3</v>
      </c>
      <c r="M67" s="21">
        <v>0</v>
      </c>
      <c r="N67" s="21">
        <v>342.99999999999625</v>
      </c>
      <c r="O67" s="21">
        <v>345</v>
      </c>
      <c r="P67" s="21">
        <v>0</v>
      </c>
      <c r="Q67" s="21">
        <v>2</v>
      </c>
      <c r="R67" s="21">
        <v>0</v>
      </c>
      <c r="S67" s="21">
        <v>0</v>
      </c>
      <c r="T67" s="21">
        <v>4</v>
      </c>
      <c r="U67" s="21">
        <v>0</v>
      </c>
      <c r="V67" s="21">
        <v>1568.9999999999964</v>
      </c>
    </row>
    <row r="68" spans="1:28">
      <c r="A68" s="168"/>
      <c r="B68" s="12"/>
      <c r="C68" s="12" t="s">
        <v>30</v>
      </c>
      <c r="D68" s="12"/>
      <c r="E68" s="12"/>
      <c r="F68" s="21">
        <v>430</v>
      </c>
      <c r="G68" s="21">
        <v>86</v>
      </c>
      <c r="H68" s="21">
        <v>397</v>
      </c>
      <c r="I68" s="21">
        <v>133.19</v>
      </c>
      <c r="J68" s="21">
        <v>16</v>
      </c>
      <c r="K68" s="21">
        <v>65</v>
      </c>
      <c r="L68" s="21">
        <v>196</v>
      </c>
      <c r="M68" s="21">
        <v>19</v>
      </c>
      <c r="N68" s="21">
        <v>225.99999999999622</v>
      </c>
      <c r="O68" s="21">
        <v>847</v>
      </c>
      <c r="P68" s="21">
        <v>334</v>
      </c>
      <c r="Q68" s="21">
        <v>38</v>
      </c>
      <c r="R68" s="21">
        <v>109</v>
      </c>
      <c r="S68" s="21">
        <v>92</v>
      </c>
      <c r="T68" s="21">
        <v>60</v>
      </c>
      <c r="U68" s="21">
        <v>52</v>
      </c>
      <c r="V68" s="21">
        <v>3100.189999999996</v>
      </c>
    </row>
    <row r="69" spans="1:28">
      <c r="A69" s="168"/>
      <c r="B69" s="13"/>
      <c r="C69" s="13" t="s">
        <v>31</v>
      </c>
      <c r="D69" s="13"/>
      <c r="E69" s="13"/>
      <c r="F69" s="29" t="s">
        <v>55</v>
      </c>
      <c r="G69" s="29" t="s">
        <v>55</v>
      </c>
      <c r="H69" s="29" t="s">
        <v>55</v>
      </c>
      <c r="I69" s="29" t="s">
        <v>55</v>
      </c>
      <c r="J69" s="29" t="s">
        <v>55</v>
      </c>
      <c r="K69" s="29" t="s">
        <v>55</v>
      </c>
      <c r="L69" s="29" t="s">
        <v>55</v>
      </c>
      <c r="M69" s="29" t="s">
        <v>55</v>
      </c>
      <c r="N69" s="29" t="s">
        <v>55</v>
      </c>
      <c r="O69" s="29" t="s">
        <v>55</v>
      </c>
      <c r="P69" s="29" t="s">
        <v>55</v>
      </c>
      <c r="Q69" s="29" t="s">
        <v>55</v>
      </c>
      <c r="R69" s="29" t="s">
        <v>55</v>
      </c>
      <c r="S69" s="29" t="s">
        <v>55</v>
      </c>
      <c r="T69" s="29" t="s">
        <v>55</v>
      </c>
      <c r="U69" s="29" t="s">
        <v>55</v>
      </c>
      <c r="V69" s="29" t="s">
        <v>55</v>
      </c>
    </row>
    <row r="70" spans="1:28">
      <c r="A70" s="168"/>
      <c r="B70" s="171" t="s">
        <v>33</v>
      </c>
      <c r="C70" s="171"/>
      <c r="D70" s="171"/>
      <c r="E70" s="182" t="s">
        <v>177</v>
      </c>
      <c r="F70" s="182"/>
      <c r="G70" s="182"/>
      <c r="H70" s="182"/>
      <c r="I70" s="182"/>
      <c r="J70" s="182"/>
      <c r="K70" s="182"/>
      <c r="L70" s="182"/>
      <c r="M70" s="182"/>
      <c r="N70" s="182"/>
      <c r="O70" s="182"/>
      <c r="P70" s="182"/>
      <c r="Q70" s="17"/>
      <c r="R70" s="17"/>
      <c r="S70" s="17"/>
      <c r="T70" s="17"/>
      <c r="U70" s="17"/>
      <c r="V70" s="25"/>
    </row>
    <row r="71" spans="1:28" ht="12.75" customHeight="1">
      <c r="A71" s="153"/>
      <c r="B71" s="140"/>
      <c r="C71" s="140"/>
      <c r="D71" s="140"/>
      <c r="E71" s="167" t="s">
        <v>200</v>
      </c>
      <c r="F71" s="167"/>
      <c r="G71" s="167"/>
      <c r="H71" s="167"/>
      <c r="I71" s="167"/>
      <c r="J71" s="167"/>
      <c r="K71" s="167"/>
      <c r="L71" s="167"/>
      <c r="M71" s="167"/>
      <c r="N71" s="167"/>
      <c r="O71" s="167"/>
      <c r="P71" s="167"/>
      <c r="Q71" s="167"/>
      <c r="R71" s="167"/>
      <c r="S71" s="167"/>
      <c r="T71" s="167"/>
      <c r="U71" s="167"/>
      <c r="V71" s="167"/>
      <c r="W71" s="157"/>
      <c r="X71" s="157"/>
      <c r="Y71" s="157"/>
      <c r="Z71" s="157"/>
      <c r="AA71" s="157"/>
      <c r="AB71" s="157"/>
    </row>
    <row r="72" spans="1:28" ht="13.5">
      <c r="E72" s="180"/>
      <c r="F72" s="180"/>
      <c r="G72" s="180"/>
      <c r="H72" s="180"/>
      <c r="I72" s="180"/>
      <c r="J72" s="180"/>
      <c r="K72" s="181"/>
      <c r="L72" s="181"/>
      <c r="M72" s="181"/>
      <c r="N72" s="181"/>
    </row>
  </sheetData>
  <mergeCells count="11">
    <mergeCell ref="E72:N72"/>
    <mergeCell ref="A1:A36"/>
    <mergeCell ref="A37:A70"/>
    <mergeCell ref="B70:D70"/>
    <mergeCell ref="E70:P70"/>
    <mergeCell ref="B1:E1"/>
    <mergeCell ref="B5:E5"/>
    <mergeCell ref="B30:E30"/>
    <mergeCell ref="B49:E49"/>
    <mergeCell ref="B60:E60"/>
    <mergeCell ref="E71:V71"/>
  </mergeCells>
  <hyperlinks>
    <hyperlink ref="E71:V71" location="Leer!Druckbereich" display="Ab 2024 gelten für die Schularten des Sek-I-Bereichs neue Bezeichnungen bzw. Zusätze. Zudem kommt es bei den Hauptschulen, Schularten mit zwei Bildungsgängen und Schularten mit drei Bildungsgängen zu Neuzuordnungen." xr:uid="{76A031AD-3B26-48E7-960A-3B51A6976137}"/>
  </hyperlinks>
  <printOptions verticalCentered="1"/>
  <pageMargins left="0.23622047244094491" right="0.23622047244094491" top="0.74803149606299213" bottom="0.74803149606299213" header="0.31496062992125984" footer="0.31496062992125984"/>
  <pageSetup paperSize="9" orientation="landscape" r:id="rId1"/>
  <rowBreaks count="1" manualBreakCount="1">
    <brk id="36"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1"/>
  <dimension ref="A1:AD74"/>
  <sheetViews>
    <sheetView view="pageBreakPreview" zoomScale="140" zoomScaleNormal="120" zoomScaleSheetLayoutView="140" workbookViewId="0">
      <selection activeCell="J27" sqref="J27"/>
    </sheetView>
  </sheetViews>
  <sheetFormatPr baseColWidth="10" defaultRowHeight="12.75"/>
  <cols>
    <col min="1" max="1" width="2.7109375" customWidth="1"/>
    <col min="2" max="2" width="3.7109375" customWidth="1"/>
    <col min="3" max="4" width="2.7109375" customWidth="1"/>
    <col min="5" max="5" width="27.28515625" customWidth="1"/>
    <col min="6" max="12" width="9.7109375" hidden="1" customWidth="1"/>
    <col min="13" max="13" width="5.42578125" hidden="1" customWidth="1"/>
    <col min="14" max="18" width="9.7109375" hidden="1" customWidth="1"/>
    <col min="19" max="28" width="9.7109375" customWidth="1"/>
  </cols>
  <sheetData>
    <row r="1" spans="1:30" ht="13.5" customHeight="1">
      <c r="A1" s="168">
        <v>61</v>
      </c>
      <c r="B1" s="169" t="s">
        <v>0</v>
      </c>
      <c r="C1" s="169"/>
      <c r="D1" s="169"/>
      <c r="E1" s="169"/>
    </row>
    <row r="2" spans="1:30" ht="13.5">
      <c r="A2" s="168"/>
      <c r="B2" s="4" t="s">
        <v>56</v>
      </c>
      <c r="C2" s="4"/>
      <c r="D2" s="4" t="s">
        <v>152</v>
      </c>
      <c r="E2" s="4"/>
    </row>
    <row r="3" spans="1:30" ht="13.5">
      <c r="A3" s="168"/>
      <c r="B3" s="5" t="s">
        <v>58</v>
      </c>
      <c r="C3" s="4"/>
      <c r="D3" s="4" t="s">
        <v>185</v>
      </c>
      <c r="E3" s="4"/>
    </row>
    <row r="4" spans="1:30" ht="6.75" customHeight="1">
      <c r="A4" s="168"/>
    </row>
    <row r="5" spans="1:30" s="6" customFormat="1" ht="18.75" customHeight="1">
      <c r="A5" s="168"/>
      <c r="B5" s="170" t="s">
        <v>126</v>
      </c>
      <c r="C5" s="170"/>
      <c r="D5" s="170"/>
      <c r="E5" s="170"/>
      <c r="F5" s="8">
        <v>2002</v>
      </c>
      <c r="G5" s="8">
        <v>2003</v>
      </c>
      <c r="H5" s="8">
        <v>2004</v>
      </c>
      <c r="I5" s="8">
        <v>2005</v>
      </c>
      <c r="J5" s="8">
        <v>2006</v>
      </c>
      <c r="K5" s="8">
        <v>2007</v>
      </c>
      <c r="L5" s="8">
        <v>2008</v>
      </c>
      <c r="M5" s="8">
        <v>2009</v>
      </c>
      <c r="N5" s="8">
        <v>2010</v>
      </c>
      <c r="O5" s="8">
        <v>2011</v>
      </c>
      <c r="P5" s="8">
        <v>2012</v>
      </c>
      <c r="Q5" s="8">
        <v>2013</v>
      </c>
      <c r="R5" s="8">
        <v>2014</v>
      </c>
      <c r="S5" s="8">
        <v>2015</v>
      </c>
      <c r="T5" s="8">
        <v>2016</v>
      </c>
      <c r="U5" s="8">
        <v>2017</v>
      </c>
      <c r="V5" s="8">
        <v>2018</v>
      </c>
      <c r="W5" s="8">
        <v>2019</v>
      </c>
      <c r="X5" s="8">
        <v>2020</v>
      </c>
      <c r="Y5" s="8">
        <v>2021</v>
      </c>
      <c r="Z5" s="8">
        <v>2022</v>
      </c>
      <c r="AA5" s="8">
        <v>2023</v>
      </c>
      <c r="AB5" s="8">
        <v>2024</v>
      </c>
    </row>
    <row r="6" spans="1:30" ht="13.5">
      <c r="A6" s="168"/>
      <c r="B6" s="9" t="s">
        <v>120</v>
      </c>
      <c r="C6" s="9"/>
      <c r="D6" s="9"/>
      <c r="E6" s="16"/>
      <c r="F6" s="58">
        <v>724848.29999999993</v>
      </c>
      <c r="G6" s="58">
        <v>723572.16878909967</v>
      </c>
      <c r="H6" s="58">
        <v>718528.27013154025</v>
      </c>
      <c r="I6" s="58">
        <v>714706.58315157529</v>
      </c>
      <c r="J6" s="58">
        <v>716286.82474623108</v>
      </c>
      <c r="K6" s="58">
        <v>715861.74192423746</v>
      </c>
      <c r="L6" s="58">
        <v>713321.69898260094</v>
      </c>
      <c r="M6" s="58">
        <v>725378.14622498828</v>
      </c>
      <c r="N6" s="58">
        <v>732012.84</v>
      </c>
      <c r="O6" s="58">
        <v>734876.52721142001</v>
      </c>
      <c r="P6" s="58">
        <v>738624.01</v>
      </c>
      <c r="Q6" s="58">
        <v>738437.00448999996</v>
      </c>
      <c r="R6" s="58">
        <v>737900.35</v>
      </c>
      <c r="S6" s="58">
        <v>738181.52184018365</v>
      </c>
      <c r="T6" s="58">
        <v>744889.80710999458</v>
      </c>
      <c r="U6" s="58">
        <v>746594.36155828403</v>
      </c>
      <c r="V6" s="58">
        <v>749968.96346577141</v>
      </c>
      <c r="W6" s="58">
        <v>755504.42158275458</v>
      </c>
      <c r="X6" s="58">
        <v>761028.84319518541</v>
      </c>
      <c r="Y6" s="58">
        <v>761985.57859061798</v>
      </c>
      <c r="Z6" s="58">
        <v>769113.54760223336</v>
      </c>
      <c r="AA6" s="58">
        <v>780610.43486433069</v>
      </c>
      <c r="AB6" s="58">
        <v>791304.07899999979</v>
      </c>
      <c r="AC6" s="150">
        <v>53122.557159816148</v>
      </c>
      <c r="AD6" s="150">
        <v>10693.644135669107</v>
      </c>
    </row>
    <row r="7" spans="1:30" ht="13.5">
      <c r="A7" s="168"/>
      <c r="B7" s="10" t="s">
        <v>119</v>
      </c>
      <c r="C7" s="10"/>
      <c r="D7" s="10"/>
      <c r="E7" s="9"/>
      <c r="F7" s="59">
        <v>612174.69999999995</v>
      </c>
      <c r="G7" s="59">
        <v>608996.77378909965</v>
      </c>
      <c r="H7" s="59">
        <v>602210.34106686921</v>
      </c>
      <c r="I7" s="59">
        <v>597377.46829495381</v>
      </c>
      <c r="J7" s="59">
        <v>597535.46578442666</v>
      </c>
      <c r="K7" s="59">
        <v>596323.22285169829</v>
      </c>
      <c r="L7" s="59">
        <v>596123.69069820852</v>
      </c>
      <c r="M7" s="59">
        <v>607407.73622498824</v>
      </c>
      <c r="N7" s="59">
        <v>614129.53999999992</v>
      </c>
      <c r="O7" s="59">
        <v>617324.78300000005</v>
      </c>
      <c r="P7" s="59">
        <v>621411.01</v>
      </c>
      <c r="Q7" s="59">
        <v>621159.00448999996</v>
      </c>
      <c r="R7" s="59">
        <v>620681.35</v>
      </c>
      <c r="S7" s="59">
        <v>620759.69394445396</v>
      </c>
      <c r="T7" s="59">
        <v>625487.63217895094</v>
      </c>
      <c r="U7" s="59">
        <v>627322.81317389198</v>
      </c>
      <c r="V7" s="59">
        <v>631467.61206462712</v>
      </c>
      <c r="W7" s="59">
        <v>637863.52370075742</v>
      </c>
      <c r="X7" s="59">
        <v>643761.75319518545</v>
      </c>
      <c r="Y7" s="59">
        <v>646456.71859061799</v>
      </c>
      <c r="Z7" s="59">
        <v>654265.78767806711</v>
      </c>
      <c r="AA7" s="59">
        <v>665390.05486433138</v>
      </c>
      <c r="AB7" s="59">
        <v>676273.20299999998</v>
      </c>
      <c r="AC7" s="111">
        <v>7.1964084155600396</v>
      </c>
      <c r="AD7" s="159">
        <v>1.3699079154031102</v>
      </c>
    </row>
    <row r="8" spans="1:30" ht="13.5">
      <c r="A8" s="168"/>
      <c r="B8" s="11" t="s">
        <v>3</v>
      </c>
      <c r="C8" s="11"/>
      <c r="D8" s="11"/>
      <c r="E8" s="11"/>
      <c r="F8" s="58">
        <v>63602</v>
      </c>
      <c r="G8" s="58">
        <v>64047.362892027864</v>
      </c>
      <c r="H8" s="58">
        <v>64103.4</v>
      </c>
      <c r="I8" s="58">
        <v>64416.041720143716</v>
      </c>
      <c r="J8" s="58">
        <v>64256.943353055787</v>
      </c>
      <c r="K8" s="58">
        <v>64549.697694991512</v>
      </c>
      <c r="L8" s="58">
        <v>65014.310845729226</v>
      </c>
      <c r="M8" s="58">
        <v>66317</v>
      </c>
      <c r="N8" s="58">
        <v>66087</v>
      </c>
      <c r="O8" s="58">
        <v>65280.061999999998</v>
      </c>
      <c r="P8" s="58">
        <v>64569</v>
      </c>
      <c r="Q8" s="58">
        <v>63814</v>
      </c>
      <c r="R8" s="58">
        <v>62751.87</v>
      </c>
      <c r="S8" s="58">
        <v>61111.426400206707</v>
      </c>
      <c r="T8" s="58">
        <v>60588.447700893346</v>
      </c>
      <c r="U8" s="58">
        <v>60501.495426001296</v>
      </c>
      <c r="V8" s="58">
        <v>60279.450099376263</v>
      </c>
      <c r="W8" s="58">
        <v>60264.74921814815</v>
      </c>
      <c r="X8" s="58">
        <v>61807.592423917908</v>
      </c>
      <c r="Y8" s="58">
        <v>62277.46801912412</v>
      </c>
      <c r="Z8" s="58">
        <v>63751.020000000004</v>
      </c>
      <c r="AA8" s="58">
        <v>65020.7059254224</v>
      </c>
      <c r="AB8" s="58">
        <v>66437.241999999998</v>
      </c>
    </row>
    <row r="9" spans="1:30" ht="13.5">
      <c r="A9" s="168"/>
      <c r="B9" s="12"/>
      <c r="C9" s="12" t="s">
        <v>4</v>
      </c>
      <c r="D9" s="12"/>
      <c r="E9" s="12"/>
      <c r="F9" s="56">
        <v>25790</v>
      </c>
      <c r="G9" s="56">
        <v>25644.158480263159</v>
      </c>
      <c r="H9" s="56">
        <v>25222</v>
      </c>
      <c r="I9" s="56">
        <v>24062.791627906976</v>
      </c>
      <c r="J9" s="56">
        <v>22991.20930232558</v>
      </c>
      <c r="K9" s="56">
        <v>22560.13920017342</v>
      </c>
      <c r="L9" s="56">
        <v>22208.933740504031</v>
      </c>
      <c r="M9" s="56">
        <v>22184.48</v>
      </c>
      <c r="N9" s="56">
        <v>21550</v>
      </c>
      <c r="O9" s="56">
        <v>20647.626</v>
      </c>
      <c r="P9" s="56">
        <v>19449</v>
      </c>
      <c r="Q9" s="56">
        <v>18570</v>
      </c>
      <c r="R9" s="56">
        <v>17595.419999999998</v>
      </c>
      <c r="S9" s="56">
        <v>16464.854461116669</v>
      </c>
      <c r="T9" s="56">
        <v>15777.611620392128</v>
      </c>
      <c r="U9" s="56">
        <v>14117.603449432758</v>
      </c>
      <c r="V9" s="56">
        <v>13399.36</v>
      </c>
      <c r="W9" s="56">
        <v>12883.555268911934</v>
      </c>
      <c r="X9" s="56">
        <v>16611.986002951213</v>
      </c>
      <c r="Y9" s="56">
        <v>16735.327676184188</v>
      </c>
      <c r="Z9" s="56">
        <v>16758.907768809742</v>
      </c>
      <c r="AA9" s="56">
        <v>16842.960857466183</v>
      </c>
      <c r="AB9" s="56">
        <v>16758.355370289697</v>
      </c>
    </row>
    <row r="10" spans="1:30" ht="13.5">
      <c r="A10" s="168"/>
      <c r="B10" s="13"/>
      <c r="C10" s="13" t="s">
        <v>5</v>
      </c>
      <c r="D10" s="13"/>
      <c r="E10" s="13"/>
      <c r="F10" s="63">
        <v>35353</v>
      </c>
      <c r="G10" s="63">
        <v>36079.204411764702</v>
      </c>
      <c r="H10" s="63">
        <v>36580.400000000001</v>
      </c>
      <c r="I10" s="63">
        <v>38162.25009223674</v>
      </c>
      <c r="J10" s="63">
        <v>39166.734050730207</v>
      </c>
      <c r="K10" s="63">
        <v>40020.558494818084</v>
      </c>
      <c r="L10" s="63">
        <v>40865.377105225198</v>
      </c>
      <c r="M10" s="63">
        <v>42338.52</v>
      </c>
      <c r="N10" s="63">
        <v>42737</v>
      </c>
      <c r="O10" s="63">
        <v>43074.436000000002</v>
      </c>
      <c r="P10" s="63">
        <v>43649</v>
      </c>
      <c r="Q10" s="63">
        <v>43838</v>
      </c>
      <c r="R10" s="63">
        <v>43789.45</v>
      </c>
      <c r="S10" s="63">
        <v>43358.571939090034</v>
      </c>
      <c r="T10" s="63">
        <v>43568.83608050122</v>
      </c>
      <c r="U10" s="63">
        <v>45205.891976568542</v>
      </c>
      <c r="V10" s="63">
        <v>45752.090099376263</v>
      </c>
      <c r="W10" s="63">
        <v>46273.193949236207</v>
      </c>
      <c r="X10" s="63">
        <v>44098.606420966695</v>
      </c>
      <c r="Y10" s="63">
        <v>44479.140342939929</v>
      </c>
      <c r="Z10" s="63">
        <v>45922.112231190258</v>
      </c>
      <c r="AA10" s="63">
        <v>47121.745067956217</v>
      </c>
      <c r="AB10" s="63">
        <v>48657.886629710309</v>
      </c>
    </row>
    <row r="11" spans="1:30" ht="13.5" hidden="1">
      <c r="A11" s="168"/>
      <c r="B11" s="13"/>
      <c r="C11" s="13"/>
      <c r="D11" s="13"/>
      <c r="E11" s="13"/>
      <c r="F11" s="56"/>
      <c r="G11" s="56"/>
      <c r="H11" s="56"/>
      <c r="I11" s="56"/>
      <c r="J11" s="141"/>
      <c r="K11" s="141"/>
      <c r="L11" s="141"/>
      <c r="M11" s="141"/>
      <c r="N11" s="141"/>
      <c r="O11" s="141"/>
      <c r="P11" s="141"/>
      <c r="Q11" s="141"/>
      <c r="R11" s="141"/>
      <c r="S11" s="141"/>
      <c r="T11" s="56"/>
      <c r="U11" s="56"/>
      <c r="V11" s="56"/>
      <c r="W11" s="56"/>
      <c r="X11" s="56"/>
      <c r="Y11" s="56"/>
      <c r="Z11" s="56"/>
      <c r="AA11" s="56"/>
      <c r="AB11" s="63"/>
    </row>
    <row r="12" spans="1:30" ht="13.5">
      <c r="A12" s="168"/>
      <c r="B12" s="11" t="s">
        <v>6</v>
      </c>
      <c r="C12" s="11"/>
      <c r="D12" s="11"/>
      <c r="E12" s="11"/>
      <c r="F12" s="60">
        <v>4709</v>
      </c>
      <c r="G12" s="60">
        <v>4642.7640000000001</v>
      </c>
      <c r="H12" s="60">
        <v>4204</v>
      </c>
      <c r="I12" s="60">
        <v>2944.3912043555811</v>
      </c>
      <c r="J12" s="60">
        <v>2881.9303482587065</v>
      </c>
      <c r="K12" s="60">
        <v>2864.6454519853564</v>
      </c>
      <c r="L12" s="60">
        <v>2977.5459494977945</v>
      </c>
      <c r="M12" s="60">
        <v>2951</v>
      </c>
      <c r="N12" s="60">
        <v>2960.31</v>
      </c>
      <c r="O12" s="60">
        <v>2915</v>
      </c>
      <c r="P12" s="60">
        <v>2857</v>
      </c>
      <c r="Q12" s="60">
        <v>2827</v>
      </c>
      <c r="R12" s="60">
        <v>2702</v>
      </c>
      <c r="S12" s="60">
        <v>2749.1092541060175</v>
      </c>
      <c r="T12" s="60">
        <v>2759.1564733333335</v>
      </c>
      <c r="U12" s="60">
        <v>2832.7432142857142</v>
      </c>
      <c r="V12" s="60">
        <v>2637.2114285714288</v>
      </c>
      <c r="W12" s="60">
        <v>2825.9144720779223</v>
      </c>
      <c r="X12" s="60">
        <v>2853.83</v>
      </c>
      <c r="Y12" s="60">
        <v>2859.2894495412843</v>
      </c>
      <c r="Z12" s="60">
        <v>2835.5991743119266</v>
      </c>
      <c r="AA12" s="60">
        <v>2912.76</v>
      </c>
      <c r="AB12" s="60">
        <v>2918.08</v>
      </c>
    </row>
    <row r="13" spans="1:30" ht="13.5">
      <c r="A13" s="168"/>
      <c r="B13" s="12"/>
      <c r="C13" s="12" t="s">
        <v>7</v>
      </c>
      <c r="D13" s="12"/>
      <c r="E13" s="12"/>
      <c r="F13" s="56">
        <v>1236</v>
      </c>
      <c r="G13" s="56">
        <v>1192</v>
      </c>
      <c r="H13" s="56">
        <v>1132</v>
      </c>
      <c r="I13" s="56">
        <v>457.66981132075472</v>
      </c>
      <c r="J13" s="56">
        <v>469</v>
      </c>
      <c r="K13" s="56">
        <v>551.66037735849056</v>
      </c>
      <c r="L13" s="56">
        <v>597.66037735849056</v>
      </c>
      <c r="M13" s="56">
        <v>624</v>
      </c>
      <c r="N13" s="56">
        <v>632</v>
      </c>
      <c r="O13" s="56">
        <v>654</v>
      </c>
      <c r="P13" s="56">
        <v>684</v>
      </c>
      <c r="Q13" s="56">
        <v>672</v>
      </c>
      <c r="R13" s="56">
        <v>627</v>
      </c>
      <c r="S13" s="56">
        <v>644.1092541060176</v>
      </c>
      <c r="T13" s="56">
        <v>637.20833333333326</v>
      </c>
      <c r="U13" s="56">
        <v>687.17321428571427</v>
      </c>
      <c r="V13" s="56">
        <v>538.21142857142854</v>
      </c>
      <c r="W13" s="56">
        <v>679.32792207792204</v>
      </c>
      <c r="X13" s="56">
        <v>674</v>
      </c>
      <c r="Y13" s="56">
        <v>666</v>
      </c>
      <c r="Z13" s="56">
        <v>646</v>
      </c>
      <c r="AA13" s="56">
        <v>698</v>
      </c>
      <c r="AB13" s="56">
        <v>712</v>
      </c>
    </row>
    <row r="14" spans="1:30" ht="13.5">
      <c r="A14" s="168"/>
      <c r="B14" s="13"/>
      <c r="C14" s="13" t="s">
        <v>8</v>
      </c>
      <c r="D14" s="13"/>
      <c r="E14" s="13"/>
      <c r="F14" s="56">
        <v>3473</v>
      </c>
      <c r="G14" s="56">
        <v>3450.7640000000001</v>
      </c>
      <c r="H14" s="56">
        <v>3072</v>
      </c>
      <c r="I14" s="56">
        <v>2486.7213930348262</v>
      </c>
      <c r="J14" s="56">
        <v>2412.9303482587065</v>
      </c>
      <c r="K14" s="56">
        <v>2312.9850746268658</v>
      </c>
      <c r="L14" s="56">
        <v>2379.8855721393038</v>
      </c>
      <c r="M14" s="56">
        <v>2327</v>
      </c>
      <c r="N14" s="56">
        <v>2328.31</v>
      </c>
      <c r="O14" s="56">
        <v>2261</v>
      </c>
      <c r="P14" s="56">
        <v>2173</v>
      </c>
      <c r="Q14" s="56">
        <v>2155</v>
      </c>
      <c r="R14" s="56">
        <v>2075</v>
      </c>
      <c r="S14" s="56">
        <v>2105</v>
      </c>
      <c r="T14" s="56">
        <v>2121.94814</v>
      </c>
      <c r="U14" s="56">
        <v>2145.5699999999997</v>
      </c>
      <c r="V14" s="56">
        <v>2099</v>
      </c>
      <c r="W14" s="56">
        <v>2146.58655</v>
      </c>
      <c r="X14" s="56">
        <v>2179.83</v>
      </c>
      <c r="Y14" s="56">
        <v>2193.2894495412843</v>
      </c>
      <c r="Z14" s="56">
        <v>2189.5991743119266</v>
      </c>
      <c r="AA14" s="56">
        <v>2214.7600000000002</v>
      </c>
      <c r="AB14" s="56">
        <v>2206.08</v>
      </c>
    </row>
    <row r="15" spans="1:30" ht="13.5">
      <c r="A15" s="168"/>
      <c r="B15" s="11" t="s">
        <v>123</v>
      </c>
      <c r="C15" s="11"/>
      <c r="D15" s="11"/>
      <c r="E15" s="11"/>
      <c r="F15" s="60">
        <v>160333</v>
      </c>
      <c r="G15" s="60">
        <v>158983.57184233904</v>
      </c>
      <c r="H15" s="60">
        <v>159359.26999999999</v>
      </c>
      <c r="I15" s="60">
        <v>161903.90646888097</v>
      </c>
      <c r="J15" s="60">
        <v>164641.92339089481</v>
      </c>
      <c r="K15" s="60">
        <v>163914.94987932092</v>
      </c>
      <c r="L15" s="60">
        <v>164068.716260107</v>
      </c>
      <c r="M15" s="60">
        <v>165986</v>
      </c>
      <c r="N15" s="60">
        <v>165669</v>
      </c>
      <c r="O15" s="60">
        <v>166617.21600000001</v>
      </c>
      <c r="P15" s="60">
        <v>167959.26</v>
      </c>
      <c r="Q15" s="60">
        <v>168708</v>
      </c>
      <c r="R15" s="60">
        <v>170674.58</v>
      </c>
      <c r="S15" s="60">
        <v>172874.42766638924</v>
      </c>
      <c r="T15" s="60">
        <v>176647.157474982</v>
      </c>
      <c r="U15" s="60">
        <v>179997.59467190903</v>
      </c>
      <c r="V15" s="60">
        <v>183290.12078541867</v>
      </c>
      <c r="W15" s="60">
        <v>187259.26164891556</v>
      </c>
      <c r="X15" s="60">
        <v>189088.09107354315</v>
      </c>
      <c r="Y15" s="60">
        <v>191092.97012666755</v>
      </c>
      <c r="Z15" s="60">
        <v>195267.02170212765</v>
      </c>
      <c r="AA15" s="60">
        <v>201274.14592925791</v>
      </c>
      <c r="AB15" s="60">
        <v>206927.08900000001</v>
      </c>
      <c r="AC15" s="150">
        <v>34052.661333610769</v>
      </c>
      <c r="AD15" s="150">
        <v>5652.9430707420979</v>
      </c>
    </row>
    <row r="16" spans="1:30" ht="13.5">
      <c r="A16" s="168"/>
      <c r="B16" s="12"/>
      <c r="C16" s="12" t="s">
        <v>9</v>
      </c>
      <c r="D16" s="12"/>
      <c r="E16" s="12"/>
      <c r="F16" s="56">
        <v>158158</v>
      </c>
      <c r="G16" s="56">
        <v>156769.66665186285</v>
      </c>
      <c r="H16" s="56">
        <v>157153</v>
      </c>
      <c r="I16" s="56">
        <v>159934.0049775152</v>
      </c>
      <c r="J16" s="56">
        <v>162678.39999999999</v>
      </c>
      <c r="K16" s="56">
        <v>161872.10961244494</v>
      </c>
      <c r="L16" s="56">
        <v>162039.27866199083</v>
      </c>
      <c r="M16" s="56">
        <v>163891</v>
      </c>
      <c r="N16" s="56">
        <v>163361</v>
      </c>
      <c r="O16" s="56">
        <v>164199.37400000001</v>
      </c>
      <c r="P16" s="56">
        <v>165010</v>
      </c>
      <c r="Q16" s="56">
        <v>164872</v>
      </c>
      <c r="R16" s="56">
        <v>165862</v>
      </c>
      <c r="S16" s="56">
        <v>167272.92265854779</v>
      </c>
      <c r="T16" s="56">
        <v>170393.11837601144</v>
      </c>
      <c r="U16" s="56">
        <v>173365.24956548706</v>
      </c>
      <c r="V16" s="56">
        <v>176660.56078541867</v>
      </c>
      <c r="W16" s="56">
        <v>180801.6571980665</v>
      </c>
      <c r="X16" s="56">
        <v>182535.21953223829</v>
      </c>
      <c r="Y16" s="56">
        <v>184427.33585141916</v>
      </c>
      <c r="Z16" s="56">
        <v>188497.22</v>
      </c>
      <c r="AA16" s="56">
        <v>194331.74</v>
      </c>
      <c r="AB16" s="56">
        <v>199726.15700000001</v>
      </c>
      <c r="AC16" s="111">
        <v>19.69791703335391</v>
      </c>
      <c r="AD16" s="159">
        <v>2.8085788388981392</v>
      </c>
    </row>
    <row r="17" spans="1:30" ht="13.5">
      <c r="A17" s="168"/>
      <c r="B17" s="12"/>
      <c r="C17" s="12" t="s">
        <v>187</v>
      </c>
      <c r="D17" s="12"/>
      <c r="E17" s="12"/>
      <c r="F17" s="56">
        <v>960</v>
      </c>
      <c r="G17" s="56">
        <v>918.0761904761905</v>
      </c>
      <c r="H17" s="56">
        <v>943</v>
      </c>
      <c r="I17" s="56">
        <v>625.94230769230762</v>
      </c>
      <c r="J17" s="56">
        <v>604.5846153846154</v>
      </c>
      <c r="K17" s="56">
        <v>650.94230769230762</v>
      </c>
      <c r="L17" s="56">
        <v>661.51923076923072</v>
      </c>
      <c r="M17" s="56">
        <v>728</v>
      </c>
      <c r="N17" s="56">
        <v>907</v>
      </c>
      <c r="O17" s="56">
        <v>1011.241</v>
      </c>
      <c r="P17" s="56">
        <v>1498</v>
      </c>
      <c r="Q17" s="56">
        <v>2372</v>
      </c>
      <c r="R17" s="56">
        <v>3344.58</v>
      </c>
      <c r="S17" s="56">
        <v>4077.25</v>
      </c>
      <c r="T17" s="56">
        <v>4549.303060320779</v>
      </c>
      <c r="U17" s="56">
        <v>5012.05</v>
      </c>
      <c r="V17" s="56">
        <v>4963.43</v>
      </c>
      <c r="W17" s="56">
        <v>4751.3654659197136</v>
      </c>
      <c r="X17" s="56">
        <v>4806.37</v>
      </c>
      <c r="Y17" s="56">
        <v>4873.5</v>
      </c>
      <c r="Z17" s="56">
        <v>4977.8999999999996</v>
      </c>
      <c r="AA17" s="56">
        <v>5130.5</v>
      </c>
      <c r="AB17" s="56">
        <v>5332.6080000000002</v>
      </c>
    </row>
    <row r="18" spans="1:30" ht="13.5">
      <c r="A18" s="168"/>
      <c r="B18" s="13"/>
      <c r="C18" s="13" t="s">
        <v>11</v>
      </c>
      <c r="D18" s="13"/>
      <c r="E18" s="13"/>
      <c r="F18" s="56">
        <v>1215</v>
      </c>
      <c r="G18" s="56">
        <v>1295.829</v>
      </c>
      <c r="H18" s="56">
        <v>1263.27</v>
      </c>
      <c r="I18" s="56">
        <v>1343.9591836734694</v>
      </c>
      <c r="J18" s="56">
        <v>1358.9387755102041</v>
      </c>
      <c r="K18" s="56">
        <v>1391.8979591836735</v>
      </c>
      <c r="L18" s="56">
        <v>1367.9183673469388</v>
      </c>
      <c r="M18" s="56">
        <v>1367</v>
      </c>
      <c r="N18" s="56">
        <v>1401</v>
      </c>
      <c r="O18" s="56">
        <v>1406.6010000000001</v>
      </c>
      <c r="P18" s="56">
        <v>1451.26</v>
      </c>
      <c r="Q18" s="56">
        <v>1464</v>
      </c>
      <c r="R18" s="56">
        <v>1468</v>
      </c>
      <c r="S18" s="56">
        <v>1524.2550078414599</v>
      </c>
      <c r="T18" s="56">
        <v>1704.7360386497885</v>
      </c>
      <c r="U18" s="56">
        <v>1620.2951064219728</v>
      </c>
      <c r="V18" s="56">
        <v>1666.13</v>
      </c>
      <c r="W18" s="56">
        <v>1706.238984929339</v>
      </c>
      <c r="X18" s="56">
        <v>1746.5015413048754</v>
      </c>
      <c r="Y18" s="56">
        <v>1792.1342752483815</v>
      </c>
      <c r="Z18" s="56">
        <v>1791.9017021276595</v>
      </c>
      <c r="AA18" s="56">
        <v>1811.9059292579218</v>
      </c>
      <c r="AB18" s="56">
        <v>1868.3240000000001</v>
      </c>
    </row>
    <row r="19" spans="1:30" ht="13.5">
      <c r="A19" s="168"/>
      <c r="B19" s="11" t="s">
        <v>124</v>
      </c>
      <c r="C19" s="11"/>
      <c r="D19" s="11"/>
      <c r="E19" s="11"/>
      <c r="F19" s="60">
        <v>322673.2</v>
      </c>
      <c r="G19" s="60">
        <v>319236.36905473267</v>
      </c>
      <c r="H19" s="60">
        <v>311996.67106686928</v>
      </c>
      <c r="I19" s="60">
        <v>303839.38490722858</v>
      </c>
      <c r="J19" s="60">
        <v>299850.80676162691</v>
      </c>
      <c r="K19" s="60">
        <v>298664.634739317</v>
      </c>
      <c r="L19" s="60">
        <v>291740.7763378314</v>
      </c>
      <c r="M19" s="60">
        <v>295355.39046065294</v>
      </c>
      <c r="N19" s="60">
        <v>296748.89</v>
      </c>
      <c r="O19" s="60">
        <v>300737.27100000001</v>
      </c>
      <c r="P19" s="60">
        <v>303598.78999999998</v>
      </c>
      <c r="Q19" s="60">
        <v>303573.81550208275</v>
      </c>
      <c r="R19" s="60">
        <v>301446.42286519962</v>
      </c>
      <c r="S19" s="60">
        <v>300207.94720202556</v>
      </c>
      <c r="T19" s="60">
        <v>301742.56826455134</v>
      </c>
      <c r="U19" s="60">
        <v>303925.85406137619</v>
      </c>
      <c r="V19" s="60">
        <v>305816.45852816687</v>
      </c>
      <c r="W19" s="60">
        <v>308430.25959802489</v>
      </c>
      <c r="X19" s="60">
        <v>308649.52285541361</v>
      </c>
      <c r="Y19" s="60">
        <v>308331.91939675406</v>
      </c>
      <c r="Z19" s="60">
        <v>313753.93765269127</v>
      </c>
      <c r="AA19" s="60">
        <v>322657.33227105765</v>
      </c>
      <c r="AB19" s="60">
        <v>326959.08199999999</v>
      </c>
      <c r="AC19" s="150">
        <v>26751.134797974431</v>
      </c>
      <c r="AD19" s="150">
        <v>4301.7497289423482</v>
      </c>
    </row>
    <row r="20" spans="1:30" ht="13.5">
      <c r="A20" s="168"/>
      <c r="B20" s="12"/>
      <c r="C20" s="12" t="s">
        <v>12</v>
      </c>
      <c r="D20" s="12"/>
      <c r="E20" s="12"/>
      <c r="F20" s="56">
        <v>21001</v>
      </c>
      <c r="G20" s="56">
        <v>17440.004830917875</v>
      </c>
      <c r="H20" s="56">
        <v>7698</v>
      </c>
      <c r="I20" s="56">
        <v>7159.2929292929293</v>
      </c>
      <c r="J20" s="56">
        <v>7013.4989898989897</v>
      </c>
      <c r="K20" s="56">
        <v>7085.515151515152</v>
      </c>
      <c r="L20" s="56">
        <v>7382.2306060606061</v>
      </c>
      <c r="M20" s="56">
        <v>7880</v>
      </c>
      <c r="N20" s="56">
        <v>8005</v>
      </c>
      <c r="O20" s="56">
        <v>7639.473</v>
      </c>
      <c r="P20" s="56">
        <v>7380</v>
      </c>
      <c r="Q20" s="56">
        <v>7396</v>
      </c>
      <c r="R20" s="56">
        <v>7793.5599999999995</v>
      </c>
      <c r="S20" s="56">
        <v>7897.7550000000001</v>
      </c>
      <c r="T20" s="56">
        <v>8257.6</v>
      </c>
      <c r="U20" s="56">
        <v>7856.73</v>
      </c>
      <c r="V20" s="56">
        <v>8247</v>
      </c>
      <c r="W20" s="56">
        <v>8249</v>
      </c>
      <c r="X20" s="56">
        <v>8381.2376743181576</v>
      </c>
      <c r="Y20" s="56">
        <v>8387.9164781760883</v>
      </c>
      <c r="Z20" s="56">
        <v>8447.8885037550535</v>
      </c>
      <c r="AA20" s="56">
        <v>8635</v>
      </c>
      <c r="AB20" s="56">
        <v>8849.4840000000004</v>
      </c>
      <c r="AC20" s="111">
        <v>8.9108682988902359</v>
      </c>
      <c r="AD20" s="159">
        <v>1.3332254682278655</v>
      </c>
    </row>
    <row r="21" spans="1:30" ht="13.5">
      <c r="A21" s="168"/>
      <c r="B21" s="12"/>
      <c r="C21" s="12" t="s">
        <v>13</v>
      </c>
      <c r="D21" s="12"/>
      <c r="E21" s="12"/>
      <c r="F21" s="56">
        <v>74502</v>
      </c>
      <c r="G21" s="56">
        <v>74500.652103359171</v>
      </c>
      <c r="H21" s="56">
        <v>75095</v>
      </c>
      <c r="I21" s="56">
        <v>72338.174976999551</v>
      </c>
      <c r="J21" s="56">
        <v>70483.388571578165</v>
      </c>
      <c r="K21" s="56">
        <v>67587.022992976446</v>
      </c>
      <c r="L21" s="56">
        <v>64179.012334228421</v>
      </c>
      <c r="M21" s="56">
        <v>62103</v>
      </c>
      <c r="N21" s="56">
        <v>58325</v>
      </c>
      <c r="O21" s="56">
        <v>55804</v>
      </c>
      <c r="P21" s="56">
        <v>52466</v>
      </c>
      <c r="Q21" s="56">
        <v>48698</v>
      </c>
      <c r="R21" s="56">
        <v>44637</v>
      </c>
      <c r="S21" s="56">
        <v>41357.040000000001</v>
      </c>
      <c r="T21" s="56">
        <v>38029.194620000002</v>
      </c>
      <c r="U21" s="56">
        <v>34985.82</v>
      </c>
      <c r="V21" s="56">
        <v>32888.410000000003</v>
      </c>
      <c r="W21" s="56">
        <v>31574.950506906476</v>
      </c>
      <c r="X21" s="56">
        <v>31253.657566294161</v>
      </c>
      <c r="Y21" s="56">
        <v>30621.249549455137</v>
      </c>
      <c r="Z21" s="56">
        <v>30597.919999999998</v>
      </c>
      <c r="AA21" s="56">
        <v>30805.27</v>
      </c>
      <c r="AB21" s="56">
        <v>13546.01</v>
      </c>
      <c r="AC21">
        <v>40.668580602457915</v>
      </c>
    </row>
    <row r="22" spans="1:30" ht="13.5">
      <c r="A22" s="168"/>
      <c r="B22" s="12"/>
      <c r="C22" s="12" t="s">
        <v>188</v>
      </c>
      <c r="D22" s="12"/>
      <c r="E22" s="12"/>
      <c r="F22" s="56">
        <v>31336</v>
      </c>
      <c r="G22" s="56">
        <v>31578.510000000002</v>
      </c>
      <c r="H22" s="56">
        <v>29130</v>
      </c>
      <c r="I22" s="56">
        <v>27544.2</v>
      </c>
      <c r="J22" s="56">
        <v>26028</v>
      </c>
      <c r="K22" s="56">
        <v>25975</v>
      </c>
      <c r="L22" s="56">
        <v>26360</v>
      </c>
      <c r="M22" s="56">
        <v>28105</v>
      </c>
      <c r="N22" s="56">
        <v>31441</v>
      </c>
      <c r="O22" s="56">
        <v>32826.498999999996</v>
      </c>
      <c r="P22" s="56">
        <v>34861</v>
      </c>
      <c r="Q22" s="56">
        <v>37045</v>
      </c>
      <c r="R22" s="56">
        <v>39322</v>
      </c>
      <c r="S22" s="56">
        <v>40770.763450387087</v>
      </c>
      <c r="T22" s="56">
        <v>42728.456456261782</v>
      </c>
      <c r="U22" s="56">
        <v>43296.094802377163</v>
      </c>
      <c r="V22" s="56">
        <v>43496</v>
      </c>
      <c r="W22" s="56">
        <v>43886.271550000005</v>
      </c>
      <c r="X22" s="56">
        <v>43710</v>
      </c>
      <c r="Y22" s="56">
        <v>43134</v>
      </c>
      <c r="Z22" s="56">
        <v>42620</v>
      </c>
      <c r="AA22" s="56">
        <v>42869</v>
      </c>
      <c r="AB22" s="56">
        <v>55198.948000000004</v>
      </c>
    </row>
    <row r="23" spans="1:30" ht="13.5">
      <c r="A23" s="168"/>
      <c r="B23" s="12"/>
      <c r="C23" s="12" t="s">
        <v>15</v>
      </c>
      <c r="D23" s="12"/>
      <c r="E23" s="12"/>
      <c r="F23" s="56">
        <v>67373</v>
      </c>
      <c r="G23" s="56">
        <v>68019.907999999996</v>
      </c>
      <c r="H23" s="56">
        <v>70862</v>
      </c>
      <c r="I23" s="56">
        <v>69167.443131697568</v>
      </c>
      <c r="J23" s="56">
        <v>68711.963052338921</v>
      </c>
      <c r="K23" s="56">
        <v>68477.196179714141</v>
      </c>
      <c r="L23" s="56">
        <v>67917.394063817308</v>
      </c>
      <c r="M23" s="56">
        <v>67778</v>
      </c>
      <c r="N23" s="56">
        <v>66263.149999999994</v>
      </c>
      <c r="O23" s="56">
        <v>65292</v>
      </c>
      <c r="P23" s="56">
        <v>64254</v>
      </c>
      <c r="Q23" s="56">
        <v>61425</v>
      </c>
      <c r="R23" s="56">
        <v>58303.46</v>
      </c>
      <c r="S23" s="56">
        <v>55880.3</v>
      </c>
      <c r="T23" s="56">
        <v>53397.030220000001</v>
      </c>
      <c r="U23" s="56">
        <v>51773.14</v>
      </c>
      <c r="V23" s="56">
        <v>51119</v>
      </c>
      <c r="W23" s="56">
        <v>51071.16317</v>
      </c>
      <c r="X23" s="56">
        <v>51295.232662424154</v>
      </c>
      <c r="Y23" s="56">
        <v>51236.537051170555</v>
      </c>
      <c r="Z23" s="56">
        <v>51335.729999999996</v>
      </c>
      <c r="AA23" s="56">
        <v>51944.83</v>
      </c>
      <c r="AB23" s="56">
        <v>52313.760000000002</v>
      </c>
    </row>
    <row r="24" spans="1:30" ht="13.5">
      <c r="A24" s="168"/>
      <c r="B24" s="12"/>
      <c r="C24" s="12" t="s">
        <v>16</v>
      </c>
      <c r="D24" s="12"/>
      <c r="E24" s="12"/>
      <c r="F24" s="56">
        <v>92387</v>
      </c>
      <c r="G24" s="56"/>
      <c r="H24" s="56">
        <v>94938</v>
      </c>
      <c r="I24" s="56">
        <v>94515.49554454298</v>
      </c>
      <c r="J24" s="56">
        <v>95200.678889670031</v>
      </c>
      <c r="K24" s="56">
        <v>97220.302924630523</v>
      </c>
      <c r="L24" s="56">
        <v>93532.908312663116</v>
      </c>
      <c r="M24" s="56">
        <v>94668.959603159587</v>
      </c>
      <c r="N24" s="56">
        <v>93826</v>
      </c>
      <c r="O24" s="56">
        <v>96360.887000000002</v>
      </c>
      <c r="P24" s="56">
        <v>97740</v>
      </c>
      <c r="Q24" s="56">
        <v>97615.135502082776</v>
      </c>
      <c r="R24" s="56">
        <v>95321.69</v>
      </c>
      <c r="S24" s="56">
        <v>94715.9828259122</v>
      </c>
      <c r="T24" s="56">
        <v>94973.184070775707</v>
      </c>
      <c r="U24" s="56">
        <v>96653.439885050146</v>
      </c>
      <c r="V24" s="56">
        <v>97733.40791632139</v>
      </c>
      <c r="W24" s="56">
        <v>98051.768522095401</v>
      </c>
      <c r="X24" s="56">
        <v>97132.810729774414</v>
      </c>
      <c r="Y24" s="56">
        <v>97414.651530826814</v>
      </c>
      <c r="Z24" s="56">
        <v>101593.8</v>
      </c>
      <c r="AA24" s="56">
        <v>107294.24</v>
      </c>
      <c r="AB24" s="56">
        <v>108413.329</v>
      </c>
    </row>
    <row r="25" spans="1:30" ht="13.5">
      <c r="A25" s="168"/>
      <c r="B25" s="12"/>
      <c r="C25" s="12" t="s">
        <v>187</v>
      </c>
      <c r="D25" s="12"/>
      <c r="E25" s="12"/>
      <c r="F25" s="56">
        <v>32711</v>
      </c>
      <c r="G25" s="56">
        <v>31804.601120455583</v>
      </c>
      <c r="H25" s="56">
        <v>30700.122682700221</v>
      </c>
      <c r="I25" s="56">
        <v>29468.914688331864</v>
      </c>
      <c r="J25" s="56">
        <v>28648.577957441474</v>
      </c>
      <c r="K25" s="56">
        <v>28454.669117930636</v>
      </c>
      <c r="L25" s="56">
        <v>28487.837664418588</v>
      </c>
      <c r="M25" s="56">
        <v>30821.430857493389</v>
      </c>
      <c r="N25" s="56">
        <v>34774</v>
      </c>
      <c r="O25" s="56">
        <v>38561.173999999999</v>
      </c>
      <c r="P25" s="56">
        <v>42586</v>
      </c>
      <c r="Q25" s="56">
        <v>47011</v>
      </c>
      <c r="R25" s="56">
        <v>51702.44</v>
      </c>
      <c r="S25" s="56">
        <v>55305.578822724652</v>
      </c>
      <c r="T25" s="56">
        <v>60230.758685155379</v>
      </c>
      <c r="U25" s="56">
        <v>65086.866380119223</v>
      </c>
      <c r="V25" s="56">
        <v>68060.836894475273</v>
      </c>
      <c r="W25" s="56">
        <v>71268.04752717074</v>
      </c>
      <c r="X25" s="56">
        <v>72541.487200515345</v>
      </c>
      <c r="Y25" s="56">
        <v>73382.47550087978</v>
      </c>
      <c r="Z25" s="56">
        <v>74793.94</v>
      </c>
      <c r="AA25" s="56">
        <v>76732.62</v>
      </c>
      <c r="AB25" s="56">
        <v>84278.703999999998</v>
      </c>
    </row>
    <row r="26" spans="1:30" ht="13.5">
      <c r="A26" s="168"/>
      <c r="B26" s="12"/>
      <c r="C26" s="12" t="s">
        <v>11</v>
      </c>
      <c r="D26" s="12"/>
      <c r="E26" s="12"/>
      <c r="F26" s="56">
        <v>2585</v>
      </c>
      <c r="G26" s="56">
        <v>2663.3130000000001</v>
      </c>
      <c r="H26" s="56">
        <v>2692</v>
      </c>
      <c r="I26" s="56">
        <v>2701</v>
      </c>
      <c r="J26" s="56">
        <v>2785.6538461538462</v>
      </c>
      <c r="K26" s="56">
        <v>2816.9680696661826</v>
      </c>
      <c r="L26" s="56">
        <v>2844.9615384615386</v>
      </c>
      <c r="M26" s="56">
        <v>2974</v>
      </c>
      <c r="N26" s="56">
        <v>3081.74</v>
      </c>
      <c r="O26" s="56">
        <v>3204.4110000000001</v>
      </c>
      <c r="P26" s="56">
        <v>3283.79</v>
      </c>
      <c r="Q26" s="56">
        <v>3363.6800000000003</v>
      </c>
      <c r="R26" s="56">
        <v>3364</v>
      </c>
      <c r="S26" s="56">
        <v>3337.3327700079617</v>
      </c>
      <c r="T26" s="56">
        <v>3185.7627434011479</v>
      </c>
      <c r="U26" s="56">
        <v>3341.9445505532767</v>
      </c>
      <c r="V26" s="56">
        <v>3378.76</v>
      </c>
      <c r="W26" s="56">
        <v>3430.3301149138283</v>
      </c>
      <c r="X26" s="56">
        <v>3504.1348372131215</v>
      </c>
      <c r="Y26" s="56">
        <v>3345.5410479556936</v>
      </c>
      <c r="Z26" s="56">
        <v>3570.2591489361703</v>
      </c>
      <c r="AA26" s="56">
        <v>3611.8932469557908</v>
      </c>
      <c r="AB26" s="56">
        <v>3620.645</v>
      </c>
    </row>
    <row r="27" spans="1:30" ht="13.5">
      <c r="A27" s="168"/>
      <c r="B27" s="12"/>
      <c r="C27" s="12" t="s">
        <v>17</v>
      </c>
      <c r="D27" s="12"/>
      <c r="E27" s="12"/>
      <c r="F27" s="56">
        <v>63</v>
      </c>
      <c r="G27" s="56">
        <v>69</v>
      </c>
      <c r="H27" s="56">
        <v>64.548384169065315</v>
      </c>
      <c r="I27" s="56">
        <v>69.86363636363636</v>
      </c>
      <c r="J27" s="56">
        <v>69.545454545454547</v>
      </c>
      <c r="K27" s="56">
        <v>77.63636363636364</v>
      </c>
      <c r="L27" s="56">
        <v>66.181818181818187</v>
      </c>
      <c r="M27" s="56">
        <v>71</v>
      </c>
      <c r="N27" s="56">
        <v>65</v>
      </c>
      <c r="O27" s="56">
        <v>72</v>
      </c>
      <c r="P27" s="56">
        <v>62</v>
      </c>
      <c r="Q27" s="56">
        <v>48</v>
      </c>
      <c r="R27" s="56">
        <v>50</v>
      </c>
      <c r="S27" s="56">
        <v>48.181758012011173</v>
      </c>
      <c r="T27" s="56">
        <v>66.088231171491728</v>
      </c>
      <c r="U27" s="56">
        <v>67.085950921771285</v>
      </c>
      <c r="V27" s="56">
        <v>56.902543970650186</v>
      </c>
      <c r="W27" s="56">
        <v>57.96205103783911</v>
      </c>
      <c r="X27" s="56">
        <v>51</v>
      </c>
      <c r="Y27" s="56">
        <v>45</v>
      </c>
      <c r="Z27" s="56">
        <v>45</v>
      </c>
      <c r="AA27" s="56">
        <v>48</v>
      </c>
      <c r="AB27" s="56">
        <v>47</v>
      </c>
    </row>
    <row r="28" spans="1:30" ht="13.5">
      <c r="A28" s="168"/>
      <c r="B28" s="13"/>
      <c r="C28" s="13" t="s">
        <v>18</v>
      </c>
      <c r="D28" s="13"/>
      <c r="E28" s="13"/>
      <c r="F28" s="56">
        <v>715.2</v>
      </c>
      <c r="G28" s="56">
        <v>788</v>
      </c>
      <c r="H28" s="56">
        <v>817</v>
      </c>
      <c r="I28" s="56">
        <v>875</v>
      </c>
      <c r="J28" s="56">
        <v>909.5</v>
      </c>
      <c r="K28" s="56">
        <v>970.32393924755661</v>
      </c>
      <c r="L28" s="56">
        <v>970.25</v>
      </c>
      <c r="M28" s="56">
        <v>954</v>
      </c>
      <c r="N28" s="56">
        <v>968</v>
      </c>
      <c r="O28" s="56">
        <v>976.827</v>
      </c>
      <c r="P28" s="56">
        <v>966</v>
      </c>
      <c r="Q28" s="56">
        <v>972</v>
      </c>
      <c r="R28" s="56">
        <v>952.2728651995933</v>
      </c>
      <c r="S28" s="56">
        <v>895.01257498174505</v>
      </c>
      <c r="T28" s="56">
        <v>874.49323778588325</v>
      </c>
      <c r="U28" s="56">
        <v>864.73249235462174</v>
      </c>
      <c r="V28" s="56">
        <v>836.14117339951872</v>
      </c>
      <c r="W28" s="56">
        <v>840.76615590062113</v>
      </c>
      <c r="X28" s="56">
        <v>779.9621848742479</v>
      </c>
      <c r="Y28" s="56">
        <v>764.54823828998383</v>
      </c>
      <c r="Z28" s="56">
        <v>749.4</v>
      </c>
      <c r="AA28" s="56">
        <v>716.47902410187623</v>
      </c>
      <c r="AB28" s="56">
        <v>691.202</v>
      </c>
    </row>
    <row r="29" spans="1:30" ht="13.5">
      <c r="A29" s="168"/>
      <c r="B29" s="9" t="s">
        <v>125</v>
      </c>
      <c r="C29" s="9"/>
      <c r="D29" s="9"/>
      <c r="E29" s="9"/>
      <c r="F29" s="60">
        <v>173531.1</v>
      </c>
      <c r="G29" s="60">
        <v>176662.101</v>
      </c>
      <c r="H29" s="60">
        <v>178864.92906467104</v>
      </c>
      <c r="I29" s="60">
        <v>181602.85885096638</v>
      </c>
      <c r="J29" s="60">
        <v>184655.22089239495</v>
      </c>
      <c r="K29" s="60">
        <v>185867.81415862261</v>
      </c>
      <c r="L29" s="60">
        <v>189520.3495894355</v>
      </c>
      <c r="M29" s="60">
        <v>194768.75576433522</v>
      </c>
      <c r="N29" s="60">
        <v>200547.64</v>
      </c>
      <c r="O29" s="60">
        <v>199326.97821141989</v>
      </c>
      <c r="P29" s="60">
        <v>199639.96000000002</v>
      </c>
      <c r="Q29" s="60">
        <v>199514.18898791721</v>
      </c>
      <c r="R29" s="60">
        <v>200325.4771348004</v>
      </c>
      <c r="S29" s="60">
        <v>201238.61131745618</v>
      </c>
      <c r="T29" s="60">
        <v>203152.47719623451</v>
      </c>
      <c r="U29" s="60">
        <v>199336.67418471185</v>
      </c>
      <c r="V29" s="60">
        <v>197945.72262423817</v>
      </c>
      <c r="W29" s="60">
        <v>196724.23664558804</v>
      </c>
      <c r="X29" s="60">
        <v>198629.80684231067</v>
      </c>
      <c r="Y29" s="60">
        <v>197423.93159853094</v>
      </c>
      <c r="Z29" s="60">
        <v>193505.96907310243</v>
      </c>
      <c r="AA29" s="60">
        <v>188745.49073859266</v>
      </c>
      <c r="AB29" s="60">
        <v>188062.58599999978</v>
      </c>
      <c r="AC29" s="150">
        <v>-13176.025317456399</v>
      </c>
      <c r="AD29" s="150">
        <v>-682.90473859288613</v>
      </c>
    </row>
    <row r="30" spans="1:30" ht="13.5">
      <c r="A30" s="168"/>
      <c r="B30" s="11" t="s">
        <v>127</v>
      </c>
      <c r="C30" s="11"/>
      <c r="D30" s="11"/>
      <c r="E30" s="11"/>
      <c r="F30" s="60">
        <v>60857.5</v>
      </c>
      <c r="G30" s="60">
        <v>62086.705999999998</v>
      </c>
      <c r="H30" s="60">
        <v>62547</v>
      </c>
      <c r="I30" s="60">
        <v>64273.743994344928</v>
      </c>
      <c r="J30" s="60">
        <v>65903.861930590501</v>
      </c>
      <c r="K30" s="60">
        <v>66329.295086083453</v>
      </c>
      <c r="L30" s="60">
        <v>72322.341305043039</v>
      </c>
      <c r="M30" s="60">
        <v>76798.345764335201</v>
      </c>
      <c r="N30" s="60">
        <v>82664.34</v>
      </c>
      <c r="O30" s="60">
        <v>81775.234000000011</v>
      </c>
      <c r="P30" s="60">
        <v>82426.960000000006</v>
      </c>
      <c r="Q30" s="60">
        <v>82236.188987917223</v>
      </c>
      <c r="R30" s="60">
        <v>83106.477134800414</v>
      </c>
      <c r="S30" s="60">
        <v>83816.783421726446</v>
      </c>
      <c r="T30" s="60">
        <v>83750.302265190825</v>
      </c>
      <c r="U30" s="60">
        <v>80065.125800319758</v>
      </c>
      <c r="V30" s="60">
        <v>79444.371223093825</v>
      </c>
      <c r="W30" s="60">
        <v>79083.338763590902</v>
      </c>
      <c r="X30" s="60">
        <v>81362.716842310678</v>
      </c>
      <c r="Y30" s="60">
        <v>81895.071598530951</v>
      </c>
      <c r="Z30" s="60">
        <v>78658.209148936177</v>
      </c>
      <c r="AA30" s="60">
        <v>73525.110738593386</v>
      </c>
      <c r="AB30" s="60">
        <v>73031.709999999992</v>
      </c>
      <c r="AC30" s="150">
        <v>-10785.073421726454</v>
      </c>
      <c r="AD30" s="150">
        <v>-493.40073859339464</v>
      </c>
    </row>
    <row r="31" spans="1:30" ht="13.5">
      <c r="A31" s="168"/>
      <c r="B31" s="12"/>
      <c r="C31" s="12" t="s">
        <v>16</v>
      </c>
      <c r="D31" s="12"/>
      <c r="E31" s="12"/>
      <c r="F31" s="56">
        <v>52107</v>
      </c>
      <c r="G31" s="56">
        <v>52924.853999999999</v>
      </c>
      <c r="H31" s="56">
        <v>53163</v>
      </c>
      <c r="I31" s="56">
        <v>54559</v>
      </c>
      <c r="J31" s="56">
        <v>56023.93661060802</v>
      </c>
      <c r="K31" s="56">
        <v>56554.659367563698</v>
      </c>
      <c r="L31" s="56">
        <v>62473.605399527863</v>
      </c>
      <c r="M31" s="56">
        <v>67051.019521828595</v>
      </c>
      <c r="N31" s="56">
        <v>72148</v>
      </c>
      <c r="O31" s="56">
        <v>70760.758000000002</v>
      </c>
      <c r="P31" s="56">
        <v>70913</v>
      </c>
      <c r="Q31" s="56">
        <v>70405.798987917224</v>
      </c>
      <c r="R31" s="56">
        <v>70622.149999999994</v>
      </c>
      <c r="S31" s="56">
        <v>70311.649470589007</v>
      </c>
      <c r="T31" s="56">
        <v>69501.578782224999</v>
      </c>
      <c r="U31" s="56">
        <v>66099.762881207193</v>
      </c>
      <c r="V31" s="56">
        <v>64656.89505604135</v>
      </c>
      <c r="W31" s="56">
        <v>64056.737450135799</v>
      </c>
      <c r="X31" s="56">
        <v>65704.899453418242</v>
      </c>
      <c r="Y31" s="56">
        <v>65774.217761262757</v>
      </c>
      <c r="Z31" s="56">
        <v>62564.520000000004</v>
      </c>
      <c r="AA31" s="56">
        <v>57470.28</v>
      </c>
      <c r="AB31" s="56">
        <v>57039.063999999998</v>
      </c>
      <c r="AC31" s="111">
        <v>-12.867438932201756</v>
      </c>
      <c r="AD31" s="159">
        <v>-0.67106425768959532</v>
      </c>
    </row>
    <row r="32" spans="1:30" ht="13.5">
      <c r="A32" s="168"/>
      <c r="B32" s="12"/>
      <c r="C32" s="12" t="s">
        <v>187</v>
      </c>
      <c r="D32" s="12"/>
      <c r="E32" s="12"/>
      <c r="F32" s="56">
        <v>5241</v>
      </c>
      <c r="G32" s="56">
        <v>5424.03</v>
      </c>
      <c r="H32" s="56">
        <v>5527</v>
      </c>
      <c r="I32" s="56">
        <v>5806</v>
      </c>
      <c r="J32" s="56">
        <v>5915.0558562992128</v>
      </c>
      <c r="K32" s="56">
        <v>5854.535238537982</v>
      </c>
      <c r="L32" s="56">
        <v>6065.7359055151755</v>
      </c>
      <c r="M32" s="56">
        <v>6060.3262425066096</v>
      </c>
      <c r="N32" s="56">
        <v>6774</v>
      </c>
      <c r="O32" s="56">
        <v>7176.1530000000002</v>
      </c>
      <c r="P32" s="56">
        <v>7608</v>
      </c>
      <c r="Q32" s="56">
        <v>8050</v>
      </c>
      <c r="R32" s="56">
        <v>8718.6</v>
      </c>
      <c r="S32" s="56">
        <v>9758.138790614812</v>
      </c>
      <c r="T32" s="56">
        <v>10452.592171338249</v>
      </c>
      <c r="U32" s="56">
        <v>10296.427539201421</v>
      </c>
      <c r="V32" s="56">
        <v>11209.000861133909</v>
      </c>
      <c r="W32" s="56">
        <v>11560.417558879817</v>
      </c>
      <c r="X32" s="56">
        <v>12253.626669390458</v>
      </c>
      <c r="Y32" s="56">
        <v>12814.0402184015</v>
      </c>
      <c r="Z32" s="56">
        <v>12982.3</v>
      </c>
      <c r="AA32" s="56">
        <v>13096.441974134013</v>
      </c>
      <c r="AB32" s="56">
        <v>13135.083000000001</v>
      </c>
    </row>
    <row r="33" spans="1:30" ht="13.5">
      <c r="A33" s="168"/>
      <c r="B33" s="12"/>
      <c r="C33" s="12" t="s">
        <v>11</v>
      </c>
      <c r="D33" s="12"/>
      <c r="E33" s="12"/>
      <c r="F33" s="56">
        <v>1105</v>
      </c>
      <c r="G33" s="56">
        <v>1161.375</v>
      </c>
      <c r="H33" s="56">
        <v>1167</v>
      </c>
      <c r="I33" s="56">
        <v>1191.8979591836735</v>
      </c>
      <c r="J33" s="56">
        <v>1209.93481095176</v>
      </c>
      <c r="K33" s="56">
        <v>1168.9720279720279</v>
      </c>
      <c r="L33" s="56">
        <v>1100</v>
      </c>
      <c r="M33" s="56">
        <v>1118</v>
      </c>
      <c r="N33" s="56">
        <v>1098.3399999999999</v>
      </c>
      <c r="O33" s="56">
        <v>1147.354</v>
      </c>
      <c r="P33" s="56">
        <v>1151.96</v>
      </c>
      <c r="Q33" s="56">
        <v>1133.3899999999999</v>
      </c>
      <c r="R33" s="56">
        <v>1185</v>
      </c>
      <c r="S33" s="56">
        <v>1223.6041996089666</v>
      </c>
      <c r="T33" s="56">
        <v>1315.9299184252536</v>
      </c>
      <c r="U33" s="56">
        <v>1276.9793953053106</v>
      </c>
      <c r="V33" s="56">
        <v>1309.99</v>
      </c>
      <c r="W33" s="56">
        <v>1302.6594700783646</v>
      </c>
      <c r="X33" s="56">
        <v>1312.2307195019644</v>
      </c>
      <c r="Y33" s="56">
        <v>1310.439618866706</v>
      </c>
      <c r="Z33" s="56">
        <v>1286.3891489361702</v>
      </c>
      <c r="AA33" s="56">
        <v>1252.4520212135862</v>
      </c>
      <c r="AB33" s="56">
        <v>1240.7669999999998</v>
      </c>
    </row>
    <row r="34" spans="1:30" ht="13.5">
      <c r="A34" s="168"/>
      <c r="B34" s="12"/>
      <c r="C34" s="12" t="s">
        <v>19</v>
      </c>
      <c r="D34" s="12"/>
      <c r="E34" s="12"/>
      <c r="F34" s="56">
        <v>1193</v>
      </c>
      <c r="G34" s="56">
        <v>1267.4470000000001</v>
      </c>
      <c r="H34" s="56">
        <v>1337</v>
      </c>
      <c r="I34" s="56">
        <v>1326.3508494666139</v>
      </c>
      <c r="J34" s="56">
        <v>1310.478870418586</v>
      </c>
      <c r="K34" s="56">
        <v>1308.5483366799965</v>
      </c>
      <c r="L34" s="56">
        <v>1264</v>
      </c>
      <c r="M34" s="56">
        <v>1198</v>
      </c>
      <c r="N34" s="56">
        <v>1190</v>
      </c>
      <c r="O34" s="56">
        <v>1194.4490000000001</v>
      </c>
      <c r="P34" s="56">
        <v>1198</v>
      </c>
      <c r="Q34" s="56">
        <v>1179</v>
      </c>
      <c r="R34" s="56">
        <v>1152.3469504047787</v>
      </c>
      <c r="S34" s="56">
        <v>1103.1509609136588</v>
      </c>
      <c r="T34" s="56">
        <v>1082.7658232023289</v>
      </c>
      <c r="U34" s="56">
        <v>1020.8701744015113</v>
      </c>
      <c r="V34" s="56">
        <v>968.04416187408947</v>
      </c>
      <c r="W34" s="56">
        <v>958.58485113114716</v>
      </c>
      <c r="X34" s="56">
        <v>935.72</v>
      </c>
      <c r="Y34" s="56">
        <v>874.64100000000008</v>
      </c>
      <c r="Z34" s="56">
        <v>794.14</v>
      </c>
      <c r="AA34" s="56">
        <v>724.05955239339528</v>
      </c>
      <c r="AB34" s="56">
        <v>713.096</v>
      </c>
    </row>
    <row r="35" spans="1:30" ht="13.5">
      <c r="A35" s="168"/>
      <c r="B35" s="14"/>
      <c r="C35" s="14" t="s">
        <v>20</v>
      </c>
      <c r="D35" s="14"/>
      <c r="E35" s="14"/>
      <c r="F35" s="56">
        <v>1211.5</v>
      </c>
      <c r="G35" s="56">
        <v>1309</v>
      </c>
      <c r="H35" s="56">
        <v>1353</v>
      </c>
      <c r="I35" s="56">
        <v>1390.4951856946354</v>
      </c>
      <c r="J35" s="56">
        <v>1444.4557823129253</v>
      </c>
      <c r="K35" s="56">
        <v>1442.5801153297505</v>
      </c>
      <c r="L35" s="56">
        <v>1419</v>
      </c>
      <c r="M35" s="56">
        <v>1371</v>
      </c>
      <c r="N35" s="56">
        <v>1454</v>
      </c>
      <c r="O35" s="56">
        <v>1496.52</v>
      </c>
      <c r="P35" s="56">
        <v>1556</v>
      </c>
      <c r="Q35" s="56">
        <v>1468</v>
      </c>
      <c r="R35" s="56">
        <v>1428.380184395628</v>
      </c>
      <c r="S35" s="56">
        <v>1420.24</v>
      </c>
      <c r="T35" s="56">
        <v>1397.4355700000001</v>
      </c>
      <c r="U35" s="56">
        <v>1371.0858102043146</v>
      </c>
      <c r="V35" s="56">
        <v>1300.4411440444674</v>
      </c>
      <c r="W35" s="56">
        <v>1204.939433365779</v>
      </c>
      <c r="X35" s="56">
        <v>1156.24</v>
      </c>
      <c r="Y35" s="56">
        <v>1121.7329999999999</v>
      </c>
      <c r="Z35" s="56">
        <v>1030.8600000000001</v>
      </c>
      <c r="AA35" s="56">
        <v>981.87719085239701</v>
      </c>
      <c r="AB35" s="56">
        <v>903.7</v>
      </c>
    </row>
    <row r="36" spans="1:30" ht="16.5" customHeight="1">
      <c r="A36" s="168"/>
      <c r="B36" s="15"/>
      <c r="C36" s="15"/>
      <c r="D36" s="15"/>
      <c r="E36" s="15"/>
      <c r="F36" s="60"/>
      <c r="G36" s="60"/>
      <c r="H36" s="60"/>
      <c r="I36" s="60"/>
      <c r="J36" s="60"/>
      <c r="K36" s="60"/>
      <c r="L36" s="60"/>
      <c r="M36" s="60"/>
      <c r="N36" s="60"/>
      <c r="O36" s="60"/>
      <c r="P36" s="60"/>
      <c r="Q36" s="60"/>
      <c r="R36" s="60"/>
      <c r="S36" s="60"/>
      <c r="T36" s="60"/>
      <c r="U36" s="60"/>
      <c r="V36" s="60"/>
      <c r="W36" s="60"/>
      <c r="X36" s="60"/>
      <c r="Y36" s="60"/>
      <c r="Z36" s="60"/>
      <c r="AA36" s="60"/>
      <c r="AB36" s="60"/>
    </row>
    <row r="37" spans="1:30" ht="15" customHeight="1">
      <c r="A37" s="168">
        <v>62</v>
      </c>
      <c r="B37" s="10" t="s">
        <v>128</v>
      </c>
      <c r="C37" s="10"/>
      <c r="D37" s="10"/>
      <c r="E37" s="10"/>
      <c r="F37" s="61">
        <v>112673.60000000001</v>
      </c>
      <c r="G37" s="61">
        <v>114575.395</v>
      </c>
      <c r="H37" s="61">
        <v>116317.92906467104</v>
      </c>
      <c r="I37" s="61">
        <v>117329.11485662145</v>
      </c>
      <c r="J37" s="61">
        <v>118751.35896180446</v>
      </c>
      <c r="K37" s="61">
        <v>119538.51907253916</v>
      </c>
      <c r="L37" s="61">
        <v>117198.00828439246</v>
      </c>
      <c r="M37" s="61">
        <v>117970.41</v>
      </c>
      <c r="N37" s="61">
        <v>117883.3</v>
      </c>
      <c r="O37" s="61">
        <v>117551.74421141989</v>
      </c>
      <c r="P37" s="61">
        <v>117213</v>
      </c>
      <c r="Q37" s="61">
        <v>117278</v>
      </c>
      <c r="R37" s="61">
        <v>117219</v>
      </c>
      <c r="S37" s="61">
        <v>117421.82789572973</v>
      </c>
      <c r="T37" s="61">
        <v>119402.1749310437</v>
      </c>
      <c r="U37" s="61">
        <v>119271.5483843921</v>
      </c>
      <c r="V37" s="61">
        <v>118501.35140114435</v>
      </c>
      <c r="W37" s="61">
        <v>117640.89788199714</v>
      </c>
      <c r="X37" s="61">
        <v>117267.09</v>
      </c>
      <c r="Y37" s="61">
        <v>115528.85999999999</v>
      </c>
      <c r="Z37" s="61">
        <v>114847.75992416625</v>
      </c>
      <c r="AA37" s="61">
        <v>115220.37999999928</v>
      </c>
      <c r="AB37" s="61">
        <v>115030.87599999979</v>
      </c>
      <c r="AC37" s="150">
        <v>-2390.9518957299442</v>
      </c>
      <c r="AD37" s="150">
        <v>-189.5039999994915</v>
      </c>
    </row>
    <row r="38" spans="1:30" ht="13.5">
      <c r="A38" s="168"/>
      <c r="B38" s="12"/>
      <c r="C38" s="12" t="s">
        <v>21</v>
      </c>
      <c r="D38" s="12"/>
      <c r="E38" s="12"/>
      <c r="F38" s="62">
        <v>56196</v>
      </c>
      <c r="G38" s="62">
        <v>55174.801000000007</v>
      </c>
      <c r="H38" s="62">
        <v>53791.32</v>
      </c>
      <c r="I38" s="62">
        <v>53729.844750775526</v>
      </c>
      <c r="J38" s="62">
        <v>53697.967012457804</v>
      </c>
      <c r="K38" s="62">
        <v>53770.431457463419</v>
      </c>
      <c r="L38" s="62">
        <v>53224.910333140855</v>
      </c>
      <c r="M38" s="62">
        <v>52061.89</v>
      </c>
      <c r="N38" s="62">
        <v>51231.200000000004</v>
      </c>
      <c r="O38" s="62">
        <v>50474.493000000002</v>
      </c>
      <c r="P38" s="62">
        <v>50392</v>
      </c>
      <c r="Q38" s="62">
        <v>49769</v>
      </c>
      <c r="R38" s="62">
        <v>49312</v>
      </c>
      <c r="S38" s="62">
        <v>48679.62551765464</v>
      </c>
      <c r="T38" s="56">
        <v>51303.861062917022</v>
      </c>
      <c r="U38" s="56">
        <v>51208.541596274183</v>
      </c>
      <c r="V38" s="56">
        <v>50703.205916721541</v>
      </c>
      <c r="W38" s="56">
        <v>50399.784423983634</v>
      </c>
      <c r="X38" s="56">
        <v>49370.89</v>
      </c>
      <c r="Y38" s="56">
        <v>48135.039999999994</v>
      </c>
      <c r="Z38" s="56">
        <v>49030.343245243959</v>
      </c>
      <c r="AA38" s="56">
        <v>50345.328281357368</v>
      </c>
      <c r="AB38" s="62">
        <v>52139.293522672422</v>
      </c>
      <c r="AC38" s="111">
        <v>-2.0362073547799846</v>
      </c>
      <c r="AD38" s="159">
        <v>-0.16447090349770821</v>
      </c>
    </row>
    <row r="39" spans="1:30" ht="13.5">
      <c r="A39" s="168"/>
      <c r="B39" s="12"/>
      <c r="C39" s="12"/>
      <c r="D39" s="12" t="s">
        <v>22</v>
      </c>
      <c r="E39" s="12"/>
      <c r="F39" s="56">
        <v>45804</v>
      </c>
      <c r="G39" s="56">
        <v>44556.361000000004</v>
      </c>
      <c r="H39" s="56">
        <v>43400.95</v>
      </c>
      <c r="I39" s="56">
        <v>43165.488112784362</v>
      </c>
      <c r="J39" s="56">
        <v>43209.172701057352</v>
      </c>
      <c r="K39" s="56">
        <v>44343.132258310769</v>
      </c>
      <c r="L39" s="56">
        <v>44613.568087151551</v>
      </c>
      <c r="M39" s="56">
        <v>44445.599999999999</v>
      </c>
      <c r="N39" s="56">
        <v>43810.8</v>
      </c>
      <c r="O39" s="56">
        <v>43170.493000000002</v>
      </c>
      <c r="P39" s="56">
        <v>43087</v>
      </c>
      <c r="Q39" s="56">
        <v>42609</v>
      </c>
      <c r="R39" s="56">
        <v>41827</v>
      </c>
      <c r="S39" s="56">
        <v>40798.30348900977</v>
      </c>
      <c r="T39" s="56">
        <v>41160.658659726185</v>
      </c>
      <c r="U39" s="56">
        <v>40607.075385830831</v>
      </c>
      <c r="V39" s="56">
        <v>41234.23106799052</v>
      </c>
      <c r="W39" s="56">
        <v>41448.518699458604</v>
      </c>
      <c r="X39" s="56">
        <v>40718.15</v>
      </c>
      <c r="Y39" s="56">
        <v>39745.67</v>
      </c>
      <c r="Z39" s="56">
        <v>39395.763865492409</v>
      </c>
      <c r="AA39" s="56">
        <v>39260.536212961859</v>
      </c>
      <c r="AB39" s="56">
        <v>39165.675454688084</v>
      </c>
    </row>
    <row r="40" spans="1:30" ht="13.5">
      <c r="A40" s="168"/>
      <c r="B40" s="12"/>
      <c r="C40" s="12"/>
      <c r="D40" s="12" t="s">
        <v>23</v>
      </c>
      <c r="E40" s="12"/>
      <c r="F40" s="56">
        <v>6699.9</v>
      </c>
      <c r="G40" s="56">
        <v>6594.44</v>
      </c>
      <c r="H40" s="56">
        <v>6499.3700000000008</v>
      </c>
      <c r="I40" s="56">
        <v>6560.3262032085559</v>
      </c>
      <c r="J40" s="56">
        <v>6505.1711229946523</v>
      </c>
      <c r="K40" s="56">
        <v>5764.9417112299461</v>
      </c>
      <c r="L40" s="56">
        <v>5180.3422459893045</v>
      </c>
      <c r="M40" s="56">
        <v>5159.5</v>
      </c>
      <c r="N40" s="56">
        <v>5062.3999999999996</v>
      </c>
      <c r="O40" s="56">
        <v>5122</v>
      </c>
      <c r="P40" s="56">
        <v>5252</v>
      </c>
      <c r="Q40" s="56">
        <v>5171</v>
      </c>
      <c r="R40" s="56">
        <v>5533</v>
      </c>
      <c r="S40" s="56">
        <v>6226.6720286448699</v>
      </c>
      <c r="T40" s="56">
        <v>9457.3924031908409</v>
      </c>
      <c r="U40" s="56">
        <v>9952.6962104433533</v>
      </c>
      <c r="V40" s="56">
        <v>8832.1648487310249</v>
      </c>
      <c r="W40" s="56">
        <v>8340.0057245250264</v>
      </c>
      <c r="X40" s="56">
        <v>8087.71</v>
      </c>
      <c r="Y40" s="56">
        <v>7824.74</v>
      </c>
      <c r="Z40" s="56">
        <v>9096.6968951066374</v>
      </c>
      <c r="AA40" s="56">
        <v>10542.152068395508</v>
      </c>
      <c r="AB40" s="56">
        <v>12443.828067984339</v>
      </c>
    </row>
    <row r="41" spans="1:30" ht="13.5">
      <c r="A41" s="168"/>
      <c r="B41" s="12"/>
      <c r="C41" s="12"/>
      <c r="D41" s="12" t="s">
        <v>24</v>
      </c>
      <c r="E41" s="12"/>
      <c r="F41" s="56">
        <v>3692.1</v>
      </c>
      <c r="G41" s="56">
        <v>4024</v>
      </c>
      <c r="H41" s="56">
        <v>3891</v>
      </c>
      <c r="I41" s="56">
        <v>4004.0304347826091</v>
      </c>
      <c r="J41" s="56">
        <v>3983.623188405797</v>
      </c>
      <c r="K41" s="56">
        <v>3662.3574879227053</v>
      </c>
      <c r="L41" s="56">
        <v>3431</v>
      </c>
      <c r="M41" s="56">
        <v>2456.79</v>
      </c>
      <c r="N41" s="56">
        <v>2358</v>
      </c>
      <c r="O41" s="56">
        <v>2182</v>
      </c>
      <c r="P41" s="56">
        <v>2053</v>
      </c>
      <c r="Q41" s="56">
        <v>1989</v>
      </c>
      <c r="R41" s="56">
        <v>1952</v>
      </c>
      <c r="S41" s="56">
        <v>1654.65</v>
      </c>
      <c r="T41" s="56">
        <v>685.81</v>
      </c>
      <c r="U41" s="56">
        <v>648.77</v>
      </c>
      <c r="V41" s="56">
        <v>636.80999999999995</v>
      </c>
      <c r="W41" s="56">
        <v>611.26</v>
      </c>
      <c r="X41" s="56">
        <v>565.03</v>
      </c>
      <c r="Y41" s="56">
        <v>564.63</v>
      </c>
      <c r="Z41" s="56">
        <v>537.88248464491153</v>
      </c>
      <c r="AA41" s="56">
        <v>542.64</v>
      </c>
      <c r="AB41" s="56">
        <v>529.79</v>
      </c>
    </row>
    <row r="42" spans="1:30" ht="13.5">
      <c r="A42" s="168"/>
      <c r="B42" s="12"/>
      <c r="C42" s="12" t="s">
        <v>25</v>
      </c>
      <c r="D42" s="12"/>
      <c r="E42" s="12"/>
      <c r="F42" s="56">
        <v>45</v>
      </c>
      <c r="G42" s="56">
        <v>42</v>
      </c>
      <c r="H42" s="56">
        <v>40.299999999999997</v>
      </c>
      <c r="I42" s="56">
        <v>40</v>
      </c>
      <c r="J42" s="56">
        <v>41</v>
      </c>
      <c r="K42" s="56">
        <v>39</v>
      </c>
      <c r="L42" s="56">
        <v>33</v>
      </c>
      <c r="M42" s="56">
        <v>36</v>
      </c>
      <c r="N42" s="56">
        <v>36</v>
      </c>
      <c r="O42" s="56">
        <v>34</v>
      </c>
      <c r="P42" s="56">
        <v>31</v>
      </c>
      <c r="Q42" s="56">
        <v>26</v>
      </c>
      <c r="R42" s="56">
        <v>22</v>
      </c>
      <c r="S42" s="56">
        <v>19.170000000000002</v>
      </c>
      <c r="T42" s="56">
        <v>13.32</v>
      </c>
      <c r="U42" s="56">
        <v>11.64</v>
      </c>
      <c r="V42" s="56">
        <v>4.2</v>
      </c>
      <c r="W42" s="56">
        <v>5.85</v>
      </c>
      <c r="X42" s="56">
        <v>4.5</v>
      </c>
      <c r="Y42" s="56">
        <v>3.03</v>
      </c>
      <c r="Z42" s="56">
        <v>1.4362428872687525</v>
      </c>
      <c r="AA42" s="56">
        <v>0</v>
      </c>
      <c r="AB42" s="56">
        <v>1.49</v>
      </c>
    </row>
    <row r="43" spans="1:30" ht="13.5">
      <c r="A43" s="168"/>
      <c r="B43" s="12"/>
      <c r="C43" s="12" t="s">
        <v>26</v>
      </c>
      <c r="D43" s="12"/>
      <c r="E43" s="12"/>
      <c r="F43" s="56">
        <v>31804</v>
      </c>
      <c r="G43" s="56">
        <v>33946.400000000001</v>
      </c>
      <c r="H43" s="56">
        <v>36499.199999999997</v>
      </c>
      <c r="I43" s="56">
        <v>37732.9</v>
      </c>
      <c r="J43" s="56">
        <v>38703.378841309823</v>
      </c>
      <c r="K43" s="56">
        <v>36951.21989924433</v>
      </c>
      <c r="L43" s="56">
        <v>35289.892527287993</v>
      </c>
      <c r="M43" s="56">
        <v>35511.68</v>
      </c>
      <c r="N43" s="56">
        <v>34745.799999999996</v>
      </c>
      <c r="O43" s="56">
        <v>33975.732000000004</v>
      </c>
      <c r="P43" s="56">
        <v>32715</v>
      </c>
      <c r="Q43" s="56">
        <v>32289</v>
      </c>
      <c r="R43" s="56">
        <v>31670</v>
      </c>
      <c r="S43" s="56">
        <v>32298.375925121316</v>
      </c>
      <c r="T43" s="56">
        <v>31672.241226264596</v>
      </c>
      <c r="U43" s="56">
        <v>31754.341520688507</v>
      </c>
      <c r="V43" s="56">
        <v>31863.811779163323</v>
      </c>
      <c r="W43" s="56">
        <v>31839.445993039888</v>
      </c>
      <c r="X43" s="56">
        <v>32427.55</v>
      </c>
      <c r="Y43" s="56">
        <v>32068.67</v>
      </c>
      <c r="Z43" s="56">
        <v>31006.384050454639</v>
      </c>
      <c r="AA43" s="56">
        <v>30451.57078060992</v>
      </c>
      <c r="AB43" s="56">
        <v>29212.901523020813</v>
      </c>
    </row>
    <row r="44" spans="1:30" ht="13.5">
      <c r="A44" s="168"/>
      <c r="B44" s="12"/>
      <c r="C44" s="12" t="s">
        <v>27</v>
      </c>
      <c r="D44" s="12"/>
      <c r="E44" s="12"/>
      <c r="F44" s="56">
        <v>884</v>
      </c>
      <c r="G44" s="56">
        <v>980</v>
      </c>
      <c r="H44" s="56">
        <v>1174.1852166903309</v>
      </c>
      <c r="I44" s="56">
        <v>1238</v>
      </c>
      <c r="J44" s="56">
        <v>1338</v>
      </c>
      <c r="K44" s="56">
        <v>1335</v>
      </c>
      <c r="L44" s="56">
        <v>1341</v>
      </c>
      <c r="M44" s="56">
        <v>1509</v>
      </c>
      <c r="N44" s="56">
        <v>1646.4</v>
      </c>
      <c r="O44" s="56">
        <v>1711</v>
      </c>
      <c r="P44" s="56">
        <v>1722</v>
      </c>
      <c r="Q44" s="56">
        <v>1657</v>
      </c>
      <c r="R44" s="56">
        <v>1621</v>
      </c>
      <c r="S44" s="56">
        <v>1492.1706037676436</v>
      </c>
      <c r="T44" s="56">
        <v>1398.6924544900819</v>
      </c>
      <c r="U44" s="56">
        <v>1265.9250217995398</v>
      </c>
      <c r="V44" s="56">
        <v>1205.821673071503</v>
      </c>
      <c r="W44" s="56">
        <v>1114.3984717238391</v>
      </c>
      <c r="X44" s="56">
        <v>1068.8699999999999</v>
      </c>
      <c r="Y44" s="56">
        <v>1016.27</v>
      </c>
      <c r="Z44" s="56">
        <v>932.23444500569644</v>
      </c>
      <c r="AA44" s="56">
        <v>841.6496450140246</v>
      </c>
      <c r="AB44" s="56">
        <v>779.91044749583375</v>
      </c>
    </row>
    <row r="45" spans="1:30" ht="13.5">
      <c r="A45" s="168"/>
      <c r="B45" s="12"/>
      <c r="C45" s="12" t="s">
        <v>28</v>
      </c>
      <c r="D45" s="12"/>
      <c r="E45" s="12"/>
      <c r="F45" s="56">
        <v>7996</v>
      </c>
      <c r="G45" s="56">
        <v>8310.3140000000003</v>
      </c>
      <c r="H45" s="56">
        <v>9040</v>
      </c>
      <c r="I45" s="56">
        <v>8748.016362599772</v>
      </c>
      <c r="J45" s="56">
        <v>9064.979740455361</v>
      </c>
      <c r="K45" s="56">
        <v>11279.165431148262</v>
      </c>
      <c r="L45" s="56">
        <v>11044</v>
      </c>
      <c r="M45" s="56">
        <v>11744.7</v>
      </c>
      <c r="N45" s="56">
        <v>12276.7</v>
      </c>
      <c r="O45" s="56">
        <v>12892.344211419881</v>
      </c>
      <c r="P45" s="56">
        <v>13430</v>
      </c>
      <c r="Q45" s="56">
        <v>14048</v>
      </c>
      <c r="R45" s="56">
        <v>14665</v>
      </c>
      <c r="S45" s="56">
        <v>14988.440358321757</v>
      </c>
      <c r="T45" s="56">
        <v>15089.942097458796</v>
      </c>
      <c r="U45" s="56">
        <v>15056.795584435082</v>
      </c>
      <c r="V45" s="56">
        <v>14861.683050435189</v>
      </c>
      <c r="W45" s="56">
        <v>14534.571469899813</v>
      </c>
      <c r="X45" s="56">
        <v>14557.630000000001</v>
      </c>
      <c r="Y45" s="56">
        <v>14436.2</v>
      </c>
      <c r="Z45" s="56">
        <v>14295.527925063943</v>
      </c>
      <c r="AA45" s="56">
        <v>14188.835087224823</v>
      </c>
      <c r="AB45" s="56">
        <v>13865.247066069973</v>
      </c>
    </row>
    <row r="46" spans="1:30" ht="13.5">
      <c r="A46" s="168"/>
      <c r="B46" s="12"/>
      <c r="C46" s="12" t="s">
        <v>29</v>
      </c>
      <c r="D46" s="12"/>
      <c r="E46" s="12"/>
      <c r="F46" s="56">
        <v>5581</v>
      </c>
      <c r="G46" s="56">
        <v>5994.1570000000002</v>
      </c>
      <c r="H46" s="56">
        <v>6146.9238479807027</v>
      </c>
      <c r="I46" s="56">
        <v>6377.4039789069993</v>
      </c>
      <c r="J46" s="56">
        <v>6626.0909395973158</v>
      </c>
      <c r="K46" s="56">
        <v>6827.4739693192714</v>
      </c>
      <c r="L46" s="56">
        <v>6897</v>
      </c>
      <c r="M46" s="56">
        <v>7069.47</v>
      </c>
      <c r="N46" s="56">
        <v>7333.1</v>
      </c>
      <c r="O46" s="56">
        <v>7410.2929999999997</v>
      </c>
      <c r="P46" s="56">
        <v>7421</v>
      </c>
      <c r="Q46" s="56">
        <v>7541</v>
      </c>
      <c r="R46" s="56">
        <v>7746</v>
      </c>
      <c r="S46" s="56">
        <v>7836.3485483631448</v>
      </c>
      <c r="T46" s="56">
        <v>7916.0582754543311</v>
      </c>
      <c r="U46" s="56">
        <v>7925.9943578749426</v>
      </c>
      <c r="V46" s="56">
        <v>7847.4517962766986</v>
      </c>
      <c r="W46" s="56">
        <v>7612.3691959915923</v>
      </c>
      <c r="X46" s="56">
        <v>7688</v>
      </c>
      <c r="Y46" s="56">
        <v>7671</v>
      </c>
      <c r="Z46" s="56">
        <v>7641</v>
      </c>
      <c r="AA46" s="56">
        <v>7602.5210788024615</v>
      </c>
      <c r="AB46" s="56">
        <v>7578.8957514655376</v>
      </c>
    </row>
    <row r="47" spans="1:30" ht="13.5">
      <c r="A47" s="168"/>
      <c r="B47" s="12"/>
      <c r="C47" s="12" t="s">
        <v>30</v>
      </c>
      <c r="D47" s="12"/>
      <c r="E47" s="12"/>
      <c r="F47" s="56">
        <v>9236.6</v>
      </c>
      <c r="G47" s="56">
        <v>9176.723</v>
      </c>
      <c r="H47" s="56">
        <v>8700</v>
      </c>
      <c r="I47" s="56">
        <v>8512.9497643391715</v>
      </c>
      <c r="J47" s="56">
        <v>8329.9424279841587</v>
      </c>
      <c r="K47" s="56">
        <v>8392.2283153638818</v>
      </c>
      <c r="L47" s="56">
        <v>8478.20542396362</v>
      </c>
      <c r="M47" s="56">
        <v>9119.67</v>
      </c>
      <c r="N47" s="56">
        <v>9663.1</v>
      </c>
      <c r="O47" s="56">
        <v>10075.882</v>
      </c>
      <c r="P47" s="56">
        <v>10468</v>
      </c>
      <c r="Q47" s="56">
        <v>10846</v>
      </c>
      <c r="R47" s="56">
        <v>11035</v>
      </c>
      <c r="S47" s="56">
        <v>10935.696942501227</v>
      </c>
      <c r="T47" s="56">
        <v>10804.059814458875</v>
      </c>
      <c r="U47" s="56">
        <v>10808.31030331984</v>
      </c>
      <c r="V47" s="56">
        <v>10747.177185476092</v>
      </c>
      <c r="W47" s="56">
        <v>10842.478327358385</v>
      </c>
      <c r="X47" s="56">
        <v>10831.65</v>
      </c>
      <c r="Y47" s="56">
        <v>10794.65</v>
      </c>
      <c r="Z47" s="56">
        <v>10492.834015510743</v>
      </c>
      <c r="AA47" s="56">
        <v>10284.475126990692</v>
      </c>
      <c r="AB47" s="56">
        <v>9963.1376892752087</v>
      </c>
    </row>
    <row r="48" spans="1:30" ht="13.5">
      <c r="A48" s="168"/>
      <c r="B48" s="12"/>
      <c r="C48" s="12" t="s">
        <v>31</v>
      </c>
      <c r="D48" s="12"/>
      <c r="E48" s="12"/>
      <c r="F48" s="63">
        <v>931</v>
      </c>
      <c r="G48" s="63">
        <v>951</v>
      </c>
      <c r="H48" s="63">
        <v>926</v>
      </c>
      <c r="I48" s="63">
        <v>950</v>
      </c>
      <c r="J48" s="63">
        <v>950</v>
      </c>
      <c r="K48" s="63">
        <v>944</v>
      </c>
      <c r="L48" s="63">
        <v>890</v>
      </c>
      <c r="M48" s="63">
        <v>918</v>
      </c>
      <c r="N48" s="63">
        <v>951</v>
      </c>
      <c r="O48" s="63">
        <v>978</v>
      </c>
      <c r="P48" s="63">
        <v>1034</v>
      </c>
      <c r="Q48" s="63">
        <v>1102</v>
      </c>
      <c r="R48" s="63">
        <v>1148</v>
      </c>
      <c r="S48" s="63">
        <v>1172</v>
      </c>
      <c r="T48" s="56">
        <v>1204</v>
      </c>
      <c r="U48" s="56">
        <v>1240</v>
      </c>
      <c r="V48" s="56">
        <v>1268</v>
      </c>
      <c r="W48" s="56">
        <v>1292</v>
      </c>
      <c r="X48" s="56">
        <v>1318</v>
      </c>
      <c r="Y48" s="56">
        <v>1404</v>
      </c>
      <c r="Z48" s="56">
        <v>1448</v>
      </c>
      <c r="AA48" s="56">
        <v>1506</v>
      </c>
      <c r="AB48" s="63">
        <v>1490</v>
      </c>
    </row>
    <row r="49" spans="1:28" ht="13.5">
      <c r="A49" s="168"/>
      <c r="B49" s="16" t="s">
        <v>129</v>
      </c>
      <c r="C49" s="16"/>
      <c r="D49" s="16"/>
      <c r="E49" s="16"/>
      <c r="F49" s="60">
        <v>62241.962</v>
      </c>
      <c r="G49" s="60">
        <v>65346.089</v>
      </c>
      <c r="H49" s="60">
        <v>68335.986762114902</v>
      </c>
      <c r="I49" s="60">
        <v>69567.792809893959</v>
      </c>
      <c r="J49" s="60">
        <v>70994.379277506872</v>
      </c>
      <c r="K49" s="60">
        <v>70604.980099942681</v>
      </c>
      <c r="L49" s="60">
        <v>67815.116174894545</v>
      </c>
      <c r="M49" s="60">
        <v>68768.680000000008</v>
      </c>
      <c r="N49" s="60">
        <v>69155</v>
      </c>
      <c r="O49" s="60">
        <v>69447.222211419881</v>
      </c>
      <c r="P49" s="60">
        <v>68975</v>
      </c>
      <c r="Q49" s="60">
        <v>69223</v>
      </c>
      <c r="R49" s="60">
        <v>69800</v>
      </c>
      <c r="S49" s="60">
        <v>71056.482444000387</v>
      </c>
      <c r="T49" s="60">
        <v>72392.565108465744</v>
      </c>
      <c r="U49" s="60">
        <v>72247.792554716711</v>
      </c>
      <c r="V49" s="60">
        <v>70672.042489573432</v>
      </c>
      <c r="W49" s="60">
        <v>69335.697003198016</v>
      </c>
      <c r="X49" s="60">
        <v>69518.73</v>
      </c>
      <c r="Y49" s="60">
        <v>68725.72</v>
      </c>
      <c r="Z49" s="60">
        <v>68364.03266984105</v>
      </c>
      <c r="AA49" s="60">
        <v>68869.787462224122</v>
      </c>
      <c r="AB49" s="60">
        <v>68939.212545009417</v>
      </c>
    </row>
    <row r="50" spans="1:28" ht="13.5">
      <c r="A50" s="168"/>
      <c r="B50" s="12"/>
      <c r="C50" s="12" t="s">
        <v>21</v>
      </c>
      <c r="D50" s="12"/>
      <c r="E50" s="12"/>
      <c r="F50" s="56">
        <v>9775</v>
      </c>
      <c r="G50" s="56">
        <v>10117.383</v>
      </c>
      <c r="H50" s="56">
        <v>9937.3700000000008</v>
      </c>
      <c r="I50" s="56">
        <v>10089.656637991166</v>
      </c>
      <c r="J50" s="56">
        <v>10047.794311400448</v>
      </c>
      <c r="K50" s="56">
        <v>9017.2991991526505</v>
      </c>
      <c r="L50" s="56">
        <v>8232.3422459893045</v>
      </c>
      <c r="M50" s="56">
        <v>7293.7</v>
      </c>
      <c r="N50" s="56">
        <v>7098.4</v>
      </c>
      <c r="O50" s="56">
        <v>7058</v>
      </c>
      <c r="P50" s="56">
        <v>7054</v>
      </c>
      <c r="Q50" s="56">
        <v>6920</v>
      </c>
      <c r="R50" s="56">
        <v>7264</v>
      </c>
      <c r="S50" s="56">
        <v>7677.8300659253036</v>
      </c>
      <c r="T50" s="56">
        <v>9968.063693495722</v>
      </c>
      <c r="U50" s="56">
        <v>10402.595766598795</v>
      </c>
      <c r="V50" s="56">
        <v>9271.6970051506287</v>
      </c>
      <c r="W50" s="56">
        <v>8729.1124302391509</v>
      </c>
      <c r="X50" s="56">
        <v>8416.74</v>
      </c>
      <c r="Y50" s="56">
        <v>8157.37</v>
      </c>
      <c r="Z50" s="56">
        <v>9416.5793797515489</v>
      </c>
      <c r="AA50" s="56">
        <v>10867.325271943209</v>
      </c>
      <c r="AB50" s="56">
        <v>12740.852192052564</v>
      </c>
    </row>
    <row r="51" spans="1:28" ht="13.5">
      <c r="A51" s="168"/>
      <c r="B51" s="12"/>
      <c r="C51" s="12"/>
      <c r="D51" s="12" t="s">
        <v>23</v>
      </c>
      <c r="E51" s="12"/>
      <c r="F51" s="56">
        <v>6082.9</v>
      </c>
      <c r="G51" s="56">
        <v>6093.3829999999998</v>
      </c>
      <c r="H51" s="56">
        <v>6046.3700000000008</v>
      </c>
      <c r="I51" s="56">
        <v>6085.626203208556</v>
      </c>
      <c r="J51" s="56">
        <v>6064.1711229946523</v>
      </c>
      <c r="K51" s="56">
        <v>5354.9417112299461</v>
      </c>
      <c r="L51" s="56">
        <v>4801.3422459893045</v>
      </c>
      <c r="M51" s="56">
        <v>4836.91</v>
      </c>
      <c r="N51" s="56">
        <v>4740.3999999999996</v>
      </c>
      <c r="O51" s="56">
        <v>4876</v>
      </c>
      <c r="P51" s="56">
        <v>5001</v>
      </c>
      <c r="Q51" s="56">
        <v>4931</v>
      </c>
      <c r="R51" s="56">
        <v>5312</v>
      </c>
      <c r="S51" s="56">
        <v>6023.180065925304</v>
      </c>
      <c r="T51" s="56">
        <v>9282.2536934957225</v>
      </c>
      <c r="U51" s="56">
        <v>9753.8257665987949</v>
      </c>
      <c r="V51" s="56">
        <v>8634.8870051506292</v>
      </c>
      <c r="W51" s="56">
        <v>8117.8524302391497</v>
      </c>
      <c r="X51" s="56">
        <v>7851.71</v>
      </c>
      <c r="Y51" s="56">
        <v>7592.74</v>
      </c>
      <c r="Z51" s="56">
        <v>8878.6968951066374</v>
      </c>
      <c r="AA51" s="56">
        <v>10324.685271943208</v>
      </c>
      <c r="AB51" s="56">
        <v>12211.062192052563</v>
      </c>
    </row>
    <row r="52" spans="1:28" ht="13.5">
      <c r="A52" s="168"/>
      <c r="B52" s="12"/>
      <c r="C52" s="12"/>
      <c r="D52" s="12" t="s">
        <v>24</v>
      </c>
      <c r="E52" s="12"/>
      <c r="F52" s="56">
        <v>3692.1</v>
      </c>
      <c r="G52" s="56">
        <v>4024</v>
      </c>
      <c r="H52" s="56">
        <v>3891</v>
      </c>
      <c r="I52" s="56">
        <v>4004.0304347826091</v>
      </c>
      <c r="J52" s="56">
        <v>3983.623188405797</v>
      </c>
      <c r="K52" s="56">
        <v>3662.3574879227053</v>
      </c>
      <c r="L52" s="56">
        <v>3431</v>
      </c>
      <c r="M52" s="56">
        <v>2456.79</v>
      </c>
      <c r="N52" s="56">
        <v>2358</v>
      </c>
      <c r="O52" s="56">
        <v>2182</v>
      </c>
      <c r="P52" s="56">
        <v>2053</v>
      </c>
      <c r="Q52" s="56">
        <v>1989</v>
      </c>
      <c r="R52" s="56">
        <v>1952</v>
      </c>
      <c r="S52" s="56">
        <v>1654.65</v>
      </c>
      <c r="T52" s="56">
        <v>685.81</v>
      </c>
      <c r="U52" s="56">
        <v>648.77</v>
      </c>
      <c r="V52" s="56">
        <v>636.80999999999995</v>
      </c>
      <c r="W52" s="56">
        <v>611.26</v>
      </c>
      <c r="X52" s="56">
        <v>565.03</v>
      </c>
      <c r="Y52" s="56">
        <v>564.63</v>
      </c>
      <c r="Z52" s="56">
        <v>537.88248464491153</v>
      </c>
      <c r="AA52" s="56">
        <v>542.64</v>
      </c>
      <c r="AB52" s="56">
        <v>529.79</v>
      </c>
    </row>
    <row r="53" spans="1:28" ht="13.5">
      <c r="A53" s="168"/>
      <c r="B53" s="12"/>
      <c r="C53" s="12" t="s">
        <v>25</v>
      </c>
      <c r="D53" s="12"/>
      <c r="E53" s="12"/>
      <c r="F53" s="56">
        <v>45</v>
      </c>
      <c r="G53" s="56">
        <v>42</v>
      </c>
      <c r="H53" s="56">
        <v>40.299999999999997</v>
      </c>
      <c r="I53" s="56">
        <v>40</v>
      </c>
      <c r="J53" s="56">
        <v>41</v>
      </c>
      <c r="K53" s="56">
        <v>39</v>
      </c>
      <c r="L53" s="56">
        <v>33</v>
      </c>
      <c r="M53" s="56">
        <v>36</v>
      </c>
      <c r="N53" s="56">
        <v>36</v>
      </c>
      <c r="O53" s="56">
        <v>34</v>
      </c>
      <c r="P53" s="56">
        <v>31</v>
      </c>
      <c r="Q53" s="56">
        <v>26</v>
      </c>
      <c r="R53" s="56">
        <v>22</v>
      </c>
      <c r="S53" s="56">
        <v>19.170000000000002</v>
      </c>
      <c r="T53" s="56">
        <v>13.32</v>
      </c>
      <c r="U53" s="56">
        <v>11.64</v>
      </c>
      <c r="V53" s="56">
        <v>4.2</v>
      </c>
      <c r="W53" s="56">
        <v>5.85</v>
      </c>
      <c r="X53" s="56">
        <v>4.5</v>
      </c>
      <c r="Y53" s="56">
        <v>3.03</v>
      </c>
      <c r="Z53" s="56">
        <v>1.4362428872687525</v>
      </c>
      <c r="AA53" s="56">
        <v>0</v>
      </c>
      <c r="AB53" s="56">
        <v>1.49</v>
      </c>
    </row>
    <row r="54" spans="1:28" ht="13.5">
      <c r="A54" s="168"/>
      <c r="B54" s="12"/>
      <c r="C54" s="12" t="s">
        <v>26</v>
      </c>
      <c r="D54" s="12"/>
      <c r="E54" s="12"/>
      <c r="F54" s="56">
        <v>30953</v>
      </c>
      <c r="G54" s="56">
        <v>33027.4</v>
      </c>
      <c r="H54" s="56">
        <v>35492.199999999997</v>
      </c>
      <c r="I54" s="56">
        <v>36739.9</v>
      </c>
      <c r="J54" s="56">
        <v>37711.378841309823</v>
      </c>
      <c r="K54" s="56">
        <v>35956.21989924433</v>
      </c>
      <c r="L54" s="56">
        <v>34231.892527287993</v>
      </c>
      <c r="M54" s="56">
        <v>34555.18</v>
      </c>
      <c r="N54" s="56">
        <v>33784.699999999997</v>
      </c>
      <c r="O54" s="56">
        <v>33001.339</v>
      </c>
      <c r="P54" s="56">
        <v>31634</v>
      </c>
      <c r="Q54" s="56">
        <v>31142</v>
      </c>
      <c r="R54" s="56">
        <v>30427</v>
      </c>
      <c r="S54" s="56">
        <v>30992.695925121316</v>
      </c>
      <c r="T54" s="56">
        <v>30326.850989464776</v>
      </c>
      <c r="U54" s="56">
        <v>30378.161520688507</v>
      </c>
      <c r="V54" s="56">
        <v>30434.801779163325</v>
      </c>
      <c r="W54" s="56">
        <v>30300.845993039889</v>
      </c>
      <c r="X54" s="56">
        <v>30647.84</v>
      </c>
      <c r="Y54" s="56">
        <v>30340.89</v>
      </c>
      <c r="Z54" s="56">
        <v>29173.819855054186</v>
      </c>
      <c r="AA54" s="56">
        <v>28588.816811326644</v>
      </c>
      <c r="AB54" s="56">
        <v>27309.59265397345</v>
      </c>
    </row>
    <row r="55" spans="1:28" ht="13.5">
      <c r="A55" s="168"/>
      <c r="B55" s="12"/>
      <c r="C55" s="12" t="s">
        <v>27</v>
      </c>
      <c r="D55" s="12"/>
      <c r="E55" s="12"/>
      <c r="F55" s="56">
        <v>879</v>
      </c>
      <c r="G55" s="56">
        <v>975</v>
      </c>
      <c r="H55" s="56">
        <v>1154.4706082687537</v>
      </c>
      <c r="I55" s="56">
        <v>1203</v>
      </c>
      <c r="J55" s="56">
        <v>1296</v>
      </c>
      <c r="K55" s="56">
        <v>1295</v>
      </c>
      <c r="L55" s="56">
        <v>1295</v>
      </c>
      <c r="M55" s="56">
        <v>1457</v>
      </c>
      <c r="N55" s="56">
        <v>1592.4</v>
      </c>
      <c r="O55" s="56">
        <v>1658</v>
      </c>
      <c r="P55" s="56">
        <v>1672</v>
      </c>
      <c r="Q55" s="56">
        <v>1607</v>
      </c>
      <c r="R55" s="56">
        <v>1575</v>
      </c>
      <c r="S55" s="56">
        <v>1451.1706037676436</v>
      </c>
      <c r="T55" s="56">
        <v>1361.6924544900819</v>
      </c>
      <c r="U55" s="56">
        <v>1231.9250217995398</v>
      </c>
      <c r="V55" s="56">
        <v>1169.821673071503</v>
      </c>
      <c r="W55" s="56">
        <v>1086.3984717238391</v>
      </c>
      <c r="X55" s="56">
        <v>1042.8699999999999</v>
      </c>
      <c r="Y55" s="56">
        <v>990.27</v>
      </c>
      <c r="Z55" s="56">
        <v>899.23444500569644</v>
      </c>
      <c r="AA55" s="56">
        <v>823.6496450140246</v>
      </c>
      <c r="AB55" s="56">
        <v>762.91044749583375</v>
      </c>
    </row>
    <row r="56" spans="1:28" ht="13.5">
      <c r="A56" s="168"/>
      <c r="B56" s="12"/>
      <c r="C56" s="12" t="s">
        <v>28</v>
      </c>
      <c r="D56" s="12"/>
      <c r="E56" s="12"/>
      <c r="F56" s="56">
        <v>7996</v>
      </c>
      <c r="G56" s="56">
        <v>8310.3140000000003</v>
      </c>
      <c r="H56" s="56">
        <v>9040</v>
      </c>
      <c r="I56" s="56">
        <v>8748.016362599772</v>
      </c>
      <c r="J56" s="56">
        <v>9064.979740455361</v>
      </c>
      <c r="K56" s="56">
        <v>11279.165431148262</v>
      </c>
      <c r="L56" s="56">
        <v>11044</v>
      </c>
      <c r="M56" s="56">
        <v>11744.7</v>
      </c>
      <c r="N56" s="56">
        <v>12276.7</v>
      </c>
      <c r="O56" s="56">
        <v>12892.344211419881</v>
      </c>
      <c r="P56" s="56">
        <v>13430</v>
      </c>
      <c r="Q56" s="56">
        <v>14048</v>
      </c>
      <c r="R56" s="56">
        <v>14665</v>
      </c>
      <c r="S56" s="56">
        <v>14988.440358321757</v>
      </c>
      <c r="T56" s="56">
        <v>15089.942097458796</v>
      </c>
      <c r="U56" s="56">
        <v>15056.795584435082</v>
      </c>
      <c r="V56" s="56">
        <v>14861.683050435189</v>
      </c>
      <c r="W56" s="56">
        <v>14534.571469899813</v>
      </c>
      <c r="X56" s="56">
        <v>14557.630000000001</v>
      </c>
      <c r="Y56" s="56">
        <v>14436.2</v>
      </c>
      <c r="Z56" s="56">
        <v>14295.527925063943</v>
      </c>
      <c r="AA56" s="56">
        <v>14188.835087224823</v>
      </c>
      <c r="AB56" s="56">
        <v>13865.247066069973</v>
      </c>
    </row>
    <row r="57" spans="1:28" ht="13.5">
      <c r="A57" s="168"/>
      <c r="B57" s="12"/>
      <c r="C57" s="12" t="s">
        <v>29</v>
      </c>
      <c r="D57" s="12"/>
      <c r="E57" s="12"/>
      <c r="F57" s="56">
        <v>4478.3</v>
      </c>
      <c r="G57" s="56">
        <v>4794.1570000000002</v>
      </c>
      <c r="H57" s="56">
        <v>4937.8</v>
      </c>
      <c r="I57" s="56">
        <v>5110.4825503355705</v>
      </c>
      <c r="J57" s="56">
        <v>5316.8409395973158</v>
      </c>
      <c r="K57" s="56">
        <v>5509.4382550335567</v>
      </c>
      <c r="L57" s="56">
        <v>5495</v>
      </c>
      <c r="M57" s="56">
        <v>5614.83</v>
      </c>
      <c r="N57" s="56">
        <v>5821.3</v>
      </c>
      <c r="O57" s="56">
        <v>5913.2929999999997</v>
      </c>
      <c r="P57" s="56">
        <v>5899</v>
      </c>
      <c r="Q57" s="56">
        <v>5923</v>
      </c>
      <c r="R57" s="56">
        <v>6072</v>
      </c>
      <c r="S57" s="56">
        <v>6147.3085483631448</v>
      </c>
      <c r="T57" s="56">
        <v>5979.6365227990427</v>
      </c>
      <c r="U57" s="56">
        <v>5961.9943578749426</v>
      </c>
      <c r="V57" s="56">
        <v>5843.4517962766986</v>
      </c>
      <c r="W57" s="56">
        <v>5616.3413455553145</v>
      </c>
      <c r="X57" s="56">
        <v>5729</v>
      </c>
      <c r="Y57" s="56">
        <v>5579</v>
      </c>
      <c r="Z57" s="56">
        <v>5544</v>
      </c>
      <c r="AA57" s="56">
        <v>5485.3701346307098</v>
      </c>
      <c r="AB57" s="56">
        <v>5558.7333009308149</v>
      </c>
    </row>
    <row r="58" spans="1:28" ht="13.5">
      <c r="A58" s="168"/>
      <c r="B58" s="12"/>
      <c r="C58" s="12" t="s">
        <v>30</v>
      </c>
      <c r="D58" s="12"/>
      <c r="E58" s="12"/>
      <c r="F58" s="56">
        <v>7207.6620000000003</v>
      </c>
      <c r="G58" s="56">
        <v>7150.835</v>
      </c>
      <c r="H58" s="56">
        <v>6828.8461538461543</v>
      </c>
      <c r="I58" s="56">
        <v>6710.7372589674478</v>
      </c>
      <c r="J58" s="56">
        <v>6587.3854447439353</v>
      </c>
      <c r="K58" s="56">
        <v>6584.8573153638818</v>
      </c>
      <c r="L58" s="56">
        <v>6616.881401617251</v>
      </c>
      <c r="M58" s="56">
        <v>7181.27</v>
      </c>
      <c r="N58" s="56">
        <v>7631.5</v>
      </c>
      <c r="O58" s="56">
        <v>7961.2460000000001</v>
      </c>
      <c r="P58" s="56">
        <v>8271</v>
      </c>
      <c r="Q58" s="56">
        <v>8516</v>
      </c>
      <c r="R58" s="56">
        <v>8676</v>
      </c>
      <c r="S58" s="56">
        <v>8656.8669425012267</v>
      </c>
      <c r="T58" s="56">
        <v>8508.0593507573194</v>
      </c>
      <c r="U58" s="56">
        <v>8025.6803033198403</v>
      </c>
      <c r="V58" s="56">
        <v>7875.387185476091</v>
      </c>
      <c r="W58" s="56">
        <v>7831.5772927399985</v>
      </c>
      <c r="X58" s="56">
        <v>7859.15</v>
      </c>
      <c r="Y58" s="56">
        <v>7865.96</v>
      </c>
      <c r="Z58" s="56">
        <v>7625.4348220783995</v>
      </c>
      <c r="AA58" s="56">
        <v>7448.7905120847181</v>
      </c>
      <c r="AB58" s="56">
        <v>7253.3868844867802</v>
      </c>
    </row>
    <row r="59" spans="1:28" ht="13.5">
      <c r="A59" s="168"/>
      <c r="B59" s="13"/>
      <c r="C59" s="13" t="s">
        <v>31</v>
      </c>
      <c r="D59" s="13"/>
      <c r="E59" s="13"/>
      <c r="F59" s="56">
        <v>908</v>
      </c>
      <c r="G59" s="56">
        <v>929</v>
      </c>
      <c r="H59" s="56">
        <v>905</v>
      </c>
      <c r="I59" s="56">
        <v>926</v>
      </c>
      <c r="J59" s="56">
        <v>929</v>
      </c>
      <c r="K59" s="56">
        <v>924</v>
      </c>
      <c r="L59" s="56">
        <v>867</v>
      </c>
      <c r="M59" s="56">
        <v>886</v>
      </c>
      <c r="N59" s="56">
        <v>914</v>
      </c>
      <c r="O59" s="56">
        <v>929</v>
      </c>
      <c r="P59" s="56">
        <v>984</v>
      </c>
      <c r="Q59" s="56">
        <v>1041</v>
      </c>
      <c r="R59" s="56">
        <v>1099</v>
      </c>
      <c r="S59" s="56">
        <v>1123</v>
      </c>
      <c r="T59" s="56">
        <v>1145</v>
      </c>
      <c r="U59" s="56">
        <v>1179</v>
      </c>
      <c r="V59" s="56">
        <v>1211</v>
      </c>
      <c r="W59" s="56">
        <v>1231</v>
      </c>
      <c r="X59" s="56">
        <v>1261</v>
      </c>
      <c r="Y59" s="56">
        <v>1353</v>
      </c>
      <c r="Z59" s="56">
        <v>1408</v>
      </c>
      <c r="AA59" s="56">
        <v>1467</v>
      </c>
      <c r="AB59" s="56">
        <v>1447</v>
      </c>
    </row>
    <row r="60" spans="1:28" ht="13.5">
      <c r="A60" s="168"/>
      <c r="B60" s="16" t="s">
        <v>130</v>
      </c>
      <c r="C60" s="16"/>
      <c r="D60" s="16"/>
      <c r="E60" s="16"/>
      <c r="F60" s="60">
        <v>50431.637999999999</v>
      </c>
      <c r="G60" s="60">
        <v>49229.306000000004</v>
      </c>
      <c r="H60" s="60">
        <v>47981.942302556119</v>
      </c>
      <c r="I60" s="60">
        <v>47761.32204672751</v>
      </c>
      <c r="J60" s="60">
        <v>47756.979684297577</v>
      </c>
      <c r="K60" s="60">
        <v>48933.538972596485</v>
      </c>
      <c r="L60" s="60">
        <v>49382.892109497916</v>
      </c>
      <c r="M60" s="60">
        <v>49201.729999999996</v>
      </c>
      <c r="N60" s="60">
        <v>48728.3</v>
      </c>
      <c r="O60" s="60">
        <v>48104.521999999997</v>
      </c>
      <c r="P60" s="60">
        <v>48238</v>
      </c>
      <c r="Q60" s="60">
        <v>48055</v>
      </c>
      <c r="R60" s="60">
        <v>47419</v>
      </c>
      <c r="S60" s="60">
        <v>46365.345451729336</v>
      </c>
      <c r="T60" s="60">
        <v>47009.609822577971</v>
      </c>
      <c r="U60" s="60">
        <v>47023.755829675385</v>
      </c>
      <c r="V60" s="60">
        <v>47829.308911570915</v>
      </c>
      <c r="W60" s="60">
        <v>48305.200878799144</v>
      </c>
      <c r="X60" s="60">
        <v>47748.36</v>
      </c>
      <c r="Y60" s="60">
        <v>46803.14</v>
      </c>
      <c r="Z60" s="60">
        <v>46483.727254325204</v>
      </c>
      <c r="AA60" s="60">
        <v>46350.592537775148</v>
      </c>
      <c r="AB60" s="60">
        <v>46091.663454990376</v>
      </c>
    </row>
    <row r="61" spans="1:28" ht="13.5">
      <c r="A61" s="168"/>
      <c r="B61" s="12"/>
      <c r="C61" s="12" t="s">
        <v>21</v>
      </c>
      <c r="D61" s="12"/>
      <c r="E61" s="12"/>
      <c r="F61" s="56">
        <v>46421</v>
      </c>
      <c r="G61" s="56">
        <v>45057.418000000005</v>
      </c>
      <c r="H61" s="56">
        <v>43853.95</v>
      </c>
      <c r="I61" s="56">
        <v>43640.188112784359</v>
      </c>
      <c r="J61" s="56">
        <v>43650.172701057352</v>
      </c>
      <c r="K61" s="56">
        <v>44753.132258310769</v>
      </c>
      <c r="L61" s="56">
        <v>44992.568087151551</v>
      </c>
      <c r="M61" s="56">
        <v>44768.189999999995</v>
      </c>
      <c r="N61" s="56">
        <v>44132.800000000003</v>
      </c>
      <c r="O61" s="56">
        <v>43416.493000000002</v>
      </c>
      <c r="P61" s="56">
        <v>43338</v>
      </c>
      <c r="Q61" s="56">
        <v>42849</v>
      </c>
      <c r="R61" s="56">
        <v>42048</v>
      </c>
      <c r="S61" s="56">
        <v>41001.795451729333</v>
      </c>
      <c r="T61" s="56">
        <v>41335.797369421307</v>
      </c>
      <c r="U61" s="56">
        <v>40805.945829675387</v>
      </c>
      <c r="V61" s="56">
        <v>41431.508911570912</v>
      </c>
      <c r="W61" s="56">
        <v>41670.67199374448</v>
      </c>
      <c r="X61" s="56">
        <v>40954.15</v>
      </c>
      <c r="Y61" s="56">
        <v>39977.67</v>
      </c>
      <c r="Z61" s="56">
        <v>39613.763865492409</v>
      </c>
      <c r="AA61" s="56">
        <v>39478.003009414155</v>
      </c>
      <c r="AB61" s="56">
        <v>39398.441330619862</v>
      </c>
    </row>
    <row r="62" spans="1:28" ht="13.5">
      <c r="A62" s="168"/>
      <c r="B62" s="12"/>
      <c r="C62" s="12"/>
      <c r="D62" s="12" t="s">
        <v>22</v>
      </c>
      <c r="E62" s="12"/>
      <c r="F62" s="56">
        <v>45804</v>
      </c>
      <c r="G62" s="56">
        <v>44556.361000000004</v>
      </c>
      <c r="H62" s="56">
        <v>43400.95</v>
      </c>
      <c r="I62" s="56">
        <v>43165.488112784362</v>
      </c>
      <c r="J62" s="56">
        <v>43209.172701057352</v>
      </c>
      <c r="K62" s="56">
        <v>44343.132258310769</v>
      </c>
      <c r="L62" s="56">
        <v>44613.568087151551</v>
      </c>
      <c r="M62" s="56">
        <v>44445.599999999999</v>
      </c>
      <c r="N62" s="56">
        <v>43810.8</v>
      </c>
      <c r="O62" s="56">
        <v>43170.493000000002</v>
      </c>
      <c r="P62" s="56">
        <v>43087</v>
      </c>
      <c r="Q62" s="56">
        <v>42609</v>
      </c>
      <c r="R62" s="56">
        <v>41827</v>
      </c>
      <c r="S62" s="56">
        <v>40798.30348900977</v>
      </c>
      <c r="T62" s="56">
        <v>41160.658659726185</v>
      </c>
      <c r="U62" s="56">
        <v>40607.075385830831</v>
      </c>
      <c r="V62" s="56">
        <v>41234.23106799052</v>
      </c>
      <c r="W62" s="56">
        <v>41448.518699458604</v>
      </c>
      <c r="X62" s="56">
        <v>40718.15</v>
      </c>
      <c r="Y62" s="56">
        <v>39745.67</v>
      </c>
      <c r="Z62" s="56">
        <v>39395.763865492409</v>
      </c>
      <c r="AA62" s="56">
        <v>39260.536212961859</v>
      </c>
      <c r="AB62" s="56">
        <v>39165.675454688084</v>
      </c>
    </row>
    <row r="63" spans="1:28" ht="13.5">
      <c r="A63" s="168"/>
      <c r="B63" s="12"/>
      <c r="C63" s="12"/>
      <c r="D63" s="12" t="s">
        <v>23</v>
      </c>
      <c r="E63" s="12"/>
      <c r="F63" s="56">
        <v>617</v>
      </c>
      <c r="G63" s="56">
        <v>501.05700000000002</v>
      </c>
      <c r="H63" s="56">
        <v>453</v>
      </c>
      <c r="I63" s="56">
        <v>474.7</v>
      </c>
      <c r="J63" s="56">
        <v>441</v>
      </c>
      <c r="K63" s="56">
        <v>410</v>
      </c>
      <c r="L63" s="56">
        <v>379</v>
      </c>
      <c r="M63" s="56">
        <v>322.59000000000003</v>
      </c>
      <c r="N63" s="56">
        <v>322</v>
      </c>
      <c r="O63" s="56">
        <v>246</v>
      </c>
      <c r="P63" s="56">
        <v>251</v>
      </c>
      <c r="Q63" s="56">
        <v>240</v>
      </c>
      <c r="R63" s="56">
        <v>221</v>
      </c>
      <c r="S63" s="56">
        <v>203.49196271956549</v>
      </c>
      <c r="T63" s="56">
        <v>175.13870969511765</v>
      </c>
      <c r="U63" s="56">
        <v>198.87044384455905</v>
      </c>
      <c r="V63" s="56">
        <v>197.2778435803956</v>
      </c>
      <c r="W63" s="56">
        <v>222.15329428587637</v>
      </c>
      <c r="X63" s="56">
        <v>236</v>
      </c>
      <c r="Y63" s="56">
        <v>232</v>
      </c>
      <c r="Z63" s="56">
        <v>218</v>
      </c>
      <c r="AA63" s="56">
        <v>217.46679645229921</v>
      </c>
      <c r="AB63" s="56">
        <v>232.76587593177592</v>
      </c>
    </row>
    <row r="64" spans="1:28" ht="13.5">
      <c r="A64" s="168"/>
      <c r="B64" s="12"/>
      <c r="C64" s="12" t="s">
        <v>25</v>
      </c>
      <c r="D64" s="12"/>
      <c r="E64" s="12"/>
      <c r="F64" s="56">
        <v>0</v>
      </c>
      <c r="G64" s="56">
        <v>0</v>
      </c>
      <c r="H64" s="56">
        <v>0</v>
      </c>
      <c r="I64" s="56">
        <v>0</v>
      </c>
      <c r="J64" s="56">
        <v>0</v>
      </c>
      <c r="K64" s="56">
        <v>0</v>
      </c>
      <c r="L64" s="56">
        <v>0</v>
      </c>
      <c r="M64" s="56">
        <v>0</v>
      </c>
      <c r="N64" s="56">
        <v>0</v>
      </c>
      <c r="O64" s="56">
        <v>0</v>
      </c>
      <c r="P64" s="56">
        <v>0</v>
      </c>
      <c r="Q64" s="56">
        <v>0</v>
      </c>
      <c r="R64" s="56">
        <v>0</v>
      </c>
      <c r="S64" s="56">
        <v>0</v>
      </c>
      <c r="T64" s="56">
        <v>0</v>
      </c>
      <c r="U64" s="56">
        <v>0</v>
      </c>
      <c r="V64" s="56">
        <v>0</v>
      </c>
      <c r="W64" s="56">
        <v>0</v>
      </c>
      <c r="X64" s="56">
        <v>0</v>
      </c>
      <c r="Y64" s="56">
        <v>0</v>
      </c>
      <c r="Z64" s="56">
        <v>0</v>
      </c>
      <c r="AA64" s="56">
        <v>0</v>
      </c>
      <c r="AB64" s="56">
        <v>0</v>
      </c>
    </row>
    <row r="65" spans="1:28" ht="13.5">
      <c r="A65" s="168"/>
      <c r="B65" s="12"/>
      <c r="C65" s="12" t="s">
        <v>26</v>
      </c>
      <c r="D65" s="12"/>
      <c r="E65" s="12"/>
      <c r="F65" s="56">
        <v>851</v>
      </c>
      <c r="G65" s="56">
        <v>919</v>
      </c>
      <c r="H65" s="56">
        <v>1007</v>
      </c>
      <c r="I65" s="56">
        <v>993</v>
      </c>
      <c r="J65" s="56">
        <v>992</v>
      </c>
      <c r="K65" s="56">
        <v>995</v>
      </c>
      <c r="L65" s="56">
        <v>1058</v>
      </c>
      <c r="M65" s="56">
        <v>956.5</v>
      </c>
      <c r="N65" s="56">
        <v>961.1</v>
      </c>
      <c r="O65" s="56">
        <v>974.39300000000003</v>
      </c>
      <c r="P65" s="56">
        <v>1081</v>
      </c>
      <c r="Q65" s="56">
        <v>1147</v>
      </c>
      <c r="R65" s="56">
        <v>1243</v>
      </c>
      <c r="S65" s="56">
        <v>1305.68</v>
      </c>
      <c r="T65" s="56">
        <v>1345.3902367998214</v>
      </c>
      <c r="U65" s="56">
        <v>1376.18</v>
      </c>
      <c r="V65" s="56">
        <v>1429.01</v>
      </c>
      <c r="W65" s="56">
        <v>1538.6</v>
      </c>
      <c r="X65" s="56">
        <v>1779.71</v>
      </c>
      <c r="Y65" s="56">
        <v>1727.78</v>
      </c>
      <c r="Z65" s="56">
        <v>1832.5641954004548</v>
      </c>
      <c r="AA65" s="56">
        <v>1862.7539692832747</v>
      </c>
      <c r="AB65" s="56">
        <v>1903.3088690473639</v>
      </c>
    </row>
    <row r="66" spans="1:28" ht="13.5">
      <c r="A66" s="168"/>
      <c r="B66" s="12"/>
      <c r="C66" s="12" t="s">
        <v>27</v>
      </c>
      <c r="D66" s="12"/>
      <c r="E66" s="12"/>
      <c r="F66" s="56">
        <v>5</v>
      </c>
      <c r="G66" s="56">
        <v>5</v>
      </c>
      <c r="H66" s="56">
        <v>19.714608421577264</v>
      </c>
      <c r="I66" s="56">
        <v>35</v>
      </c>
      <c r="J66" s="56">
        <v>42</v>
      </c>
      <c r="K66" s="56">
        <v>40</v>
      </c>
      <c r="L66" s="56">
        <v>46</v>
      </c>
      <c r="M66" s="56">
        <v>52</v>
      </c>
      <c r="N66" s="56">
        <v>54</v>
      </c>
      <c r="O66" s="56">
        <v>53</v>
      </c>
      <c r="P66" s="56">
        <v>50</v>
      </c>
      <c r="Q66" s="56">
        <v>50</v>
      </c>
      <c r="R66" s="56">
        <v>46</v>
      </c>
      <c r="S66" s="56">
        <v>41</v>
      </c>
      <c r="T66" s="56">
        <v>37</v>
      </c>
      <c r="U66" s="56">
        <v>34</v>
      </c>
      <c r="V66" s="56">
        <v>36</v>
      </c>
      <c r="W66" s="56">
        <v>28</v>
      </c>
      <c r="X66" s="56">
        <v>26</v>
      </c>
      <c r="Y66" s="56">
        <v>26</v>
      </c>
      <c r="Z66" s="56">
        <v>33</v>
      </c>
      <c r="AA66" s="56">
        <v>18</v>
      </c>
      <c r="AB66" s="56">
        <v>17</v>
      </c>
    </row>
    <row r="67" spans="1:28" ht="13.5">
      <c r="A67" s="168"/>
      <c r="B67" s="12"/>
      <c r="C67" s="12" t="s">
        <v>29</v>
      </c>
      <c r="D67" s="12"/>
      <c r="E67" s="12"/>
      <c r="F67" s="56">
        <v>1102.7</v>
      </c>
      <c r="G67" s="56">
        <v>1200</v>
      </c>
      <c r="H67" s="56">
        <v>1209.1238479807025</v>
      </c>
      <c r="I67" s="56">
        <v>1266.9214285714284</v>
      </c>
      <c r="J67" s="56">
        <v>1309.25</v>
      </c>
      <c r="K67" s="56">
        <v>1318.0357142857142</v>
      </c>
      <c r="L67" s="56">
        <v>1402</v>
      </c>
      <c r="M67" s="56">
        <v>1454.64</v>
      </c>
      <c r="N67" s="56">
        <v>1511.8</v>
      </c>
      <c r="O67" s="56">
        <v>1497</v>
      </c>
      <c r="P67" s="56">
        <v>1522</v>
      </c>
      <c r="Q67" s="56">
        <v>1618</v>
      </c>
      <c r="R67" s="56">
        <v>1674</v>
      </c>
      <c r="S67" s="56">
        <v>1689.0400000000002</v>
      </c>
      <c r="T67" s="56">
        <v>1936.4217526552882</v>
      </c>
      <c r="U67" s="56">
        <v>1964</v>
      </c>
      <c r="V67" s="56">
        <v>2004</v>
      </c>
      <c r="W67" s="56">
        <v>1996.0278504362782</v>
      </c>
      <c r="X67" s="56">
        <v>1959</v>
      </c>
      <c r="Y67" s="56">
        <v>2092</v>
      </c>
      <c r="Z67" s="56">
        <v>2097</v>
      </c>
      <c r="AA67" s="56">
        <v>2117.1509441717517</v>
      </c>
      <c r="AB67" s="56">
        <v>2020.1624505347227</v>
      </c>
    </row>
    <row r="68" spans="1:28" ht="13.5">
      <c r="A68" s="168"/>
      <c r="B68" s="12"/>
      <c r="C68" s="12" t="s">
        <v>30</v>
      </c>
      <c r="D68" s="12"/>
      <c r="E68" s="12"/>
      <c r="F68" s="56">
        <v>2028.9380000000001</v>
      </c>
      <c r="G68" s="56">
        <v>2025.8879999999999</v>
      </c>
      <c r="H68" s="56">
        <v>1871.1538461538462</v>
      </c>
      <c r="I68" s="56">
        <v>1802.2125053717232</v>
      </c>
      <c r="J68" s="56">
        <v>1742.5569832402234</v>
      </c>
      <c r="K68" s="56">
        <v>1807.3709999999999</v>
      </c>
      <c r="L68" s="56">
        <v>1861.3240223463686</v>
      </c>
      <c r="M68" s="56">
        <v>1938.4</v>
      </c>
      <c r="N68" s="56">
        <v>2031.6</v>
      </c>
      <c r="O68" s="56">
        <v>2114.636</v>
      </c>
      <c r="P68" s="56">
        <v>2197</v>
      </c>
      <c r="Q68" s="56">
        <v>2330</v>
      </c>
      <c r="R68" s="56">
        <v>2359</v>
      </c>
      <c r="S68" s="56">
        <v>2278.83</v>
      </c>
      <c r="T68" s="56">
        <v>2296.0004637015554</v>
      </c>
      <c r="U68" s="56">
        <v>2782.63</v>
      </c>
      <c r="V68" s="56">
        <v>2871.79</v>
      </c>
      <c r="W68" s="56">
        <v>3010.9010346183863</v>
      </c>
      <c r="X68" s="56">
        <v>2972.5</v>
      </c>
      <c r="Y68" s="56">
        <v>2928.69</v>
      </c>
      <c r="Z68" s="56">
        <v>2867.399193432344</v>
      </c>
      <c r="AA68" s="56">
        <v>2835.6846149059729</v>
      </c>
      <c r="AB68" s="56">
        <v>2709.750804788428</v>
      </c>
    </row>
    <row r="69" spans="1:28" ht="13.5">
      <c r="A69" s="168"/>
      <c r="B69" s="13"/>
      <c r="C69" s="13" t="s">
        <v>31</v>
      </c>
      <c r="D69" s="13"/>
      <c r="E69" s="13"/>
      <c r="F69" s="56">
        <v>23</v>
      </c>
      <c r="G69" s="56">
        <v>22</v>
      </c>
      <c r="H69" s="56">
        <v>21</v>
      </c>
      <c r="I69" s="63">
        <v>24</v>
      </c>
      <c r="J69" s="63">
        <v>21</v>
      </c>
      <c r="K69" s="63">
        <v>20</v>
      </c>
      <c r="L69" s="63">
        <v>23</v>
      </c>
      <c r="M69" s="63">
        <v>32</v>
      </c>
      <c r="N69" s="63">
        <v>37</v>
      </c>
      <c r="O69" s="56">
        <v>49</v>
      </c>
      <c r="P69" s="56">
        <v>50</v>
      </c>
      <c r="Q69" s="56">
        <v>61</v>
      </c>
      <c r="R69" s="56">
        <v>49</v>
      </c>
      <c r="S69" s="56">
        <v>49</v>
      </c>
      <c r="T69" s="56">
        <v>59</v>
      </c>
      <c r="U69" s="56">
        <v>61</v>
      </c>
      <c r="V69" s="63">
        <v>57</v>
      </c>
      <c r="W69" s="63">
        <v>61</v>
      </c>
      <c r="X69" s="63">
        <v>57</v>
      </c>
      <c r="Y69" s="63">
        <v>51</v>
      </c>
      <c r="Z69" s="63">
        <v>40</v>
      </c>
      <c r="AA69" s="63">
        <v>39</v>
      </c>
      <c r="AB69" s="63">
        <v>43</v>
      </c>
    </row>
    <row r="70" spans="1:28" ht="13.5">
      <c r="A70" s="168"/>
      <c r="B70" s="171" t="s">
        <v>33</v>
      </c>
      <c r="C70" s="171"/>
      <c r="D70" s="171"/>
      <c r="E70" s="17" t="s">
        <v>178</v>
      </c>
      <c r="F70" s="17"/>
      <c r="G70" s="17"/>
      <c r="H70" s="17"/>
      <c r="I70" s="17"/>
      <c r="J70" s="17"/>
      <c r="K70" s="17"/>
      <c r="L70" s="17"/>
      <c r="M70" s="17"/>
      <c r="N70" s="17"/>
      <c r="O70" s="17"/>
      <c r="P70" s="17"/>
      <c r="Q70" s="17"/>
      <c r="R70" s="17"/>
      <c r="S70" s="17"/>
      <c r="T70" s="17"/>
      <c r="U70" s="17"/>
      <c r="V70" s="3"/>
      <c r="W70" s="3"/>
      <c r="X70" s="3"/>
      <c r="Y70" s="3"/>
      <c r="Z70" s="3"/>
      <c r="AA70" s="3"/>
    </row>
    <row r="71" spans="1:28" ht="25.5" customHeight="1">
      <c r="A71" s="153"/>
      <c r="B71" s="140"/>
      <c r="C71" s="140"/>
      <c r="D71" s="140"/>
      <c r="E71" s="167" t="s">
        <v>200</v>
      </c>
      <c r="F71" s="167"/>
      <c r="G71" s="167"/>
      <c r="H71" s="167"/>
      <c r="I71" s="167"/>
      <c r="J71" s="167"/>
      <c r="K71" s="167"/>
      <c r="L71" s="167"/>
      <c r="M71" s="167"/>
      <c r="N71" s="167"/>
      <c r="O71" s="167"/>
      <c r="P71" s="167"/>
      <c r="Q71" s="167"/>
      <c r="R71" s="167"/>
      <c r="S71" s="167"/>
      <c r="T71" s="167"/>
      <c r="U71" s="167"/>
      <c r="V71" s="167"/>
      <c r="W71" s="167"/>
      <c r="X71" s="167"/>
      <c r="Y71" s="167"/>
      <c r="Z71" s="167"/>
      <c r="AA71" s="167"/>
      <c r="AB71" s="167"/>
    </row>
    <row r="72" spans="1:28" ht="14.25" customHeight="1">
      <c r="E72" s="184" t="s">
        <v>189</v>
      </c>
      <c r="F72" s="180"/>
      <c r="G72" s="180"/>
      <c r="H72" s="180"/>
      <c r="I72" s="180"/>
      <c r="J72" s="180"/>
      <c r="K72" s="180"/>
      <c r="L72" s="180"/>
      <c r="M72" s="180"/>
      <c r="N72" s="180"/>
      <c r="O72" s="180"/>
      <c r="P72" s="180"/>
      <c r="Q72" s="180"/>
      <c r="R72" s="180"/>
      <c r="S72" s="180"/>
      <c r="T72" s="180"/>
      <c r="U72" s="140"/>
      <c r="V72" s="140"/>
      <c r="W72" s="140"/>
      <c r="X72" s="140"/>
      <c r="Y72" s="140"/>
      <c r="Z72" s="140"/>
      <c r="AA72" s="140"/>
      <c r="AB72" s="110"/>
    </row>
    <row r="73" spans="1:28">
      <c r="E73" s="178" t="s">
        <v>175</v>
      </c>
      <c r="F73" s="178"/>
      <c r="G73" s="178"/>
      <c r="H73" s="178"/>
      <c r="I73" s="178"/>
      <c r="J73" s="178"/>
      <c r="K73" s="179"/>
      <c r="L73" s="179"/>
      <c r="M73" s="179"/>
      <c r="N73" s="179"/>
      <c r="O73" s="179"/>
      <c r="P73" s="179"/>
      <c r="Q73" s="179"/>
      <c r="R73" s="179"/>
      <c r="S73" s="179"/>
      <c r="T73" s="179"/>
    </row>
    <row r="74" spans="1:28" ht="13.5">
      <c r="E74" s="3"/>
    </row>
  </sheetData>
  <mergeCells count="8">
    <mergeCell ref="E73:T73"/>
    <mergeCell ref="E72:T72"/>
    <mergeCell ref="A1:A36"/>
    <mergeCell ref="A37:A70"/>
    <mergeCell ref="B1:E1"/>
    <mergeCell ref="B5:E5"/>
    <mergeCell ref="B70:D70"/>
    <mergeCell ref="E71:AB71"/>
  </mergeCells>
  <hyperlinks>
    <hyperlink ref="E71:AB71" location="Leer!Druckbereich" display="Ab 2024 gelten für die Schularten des Sek-I-Bereichs neue Bezeichnungen bzw. Zusätze. Zudem kommt es bei den Hauptschulen, Schularten mit zwei Bildungsgängen und Schularten mit drei Bildungsgängen zu Neuzuordnungen." xr:uid="{3080DDE1-E344-40AD-BC5B-C1F1E8439A7B}"/>
  </hyperlinks>
  <printOptions verticalCentered="1"/>
  <pageMargins left="0.23622047244094491" right="0.23622047244094491" top="0.74803149606299213" bottom="0.74803149606299213" header="0.31496062992125984" footer="0.31496062992125984"/>
  <pageSetup paperSize="9" scale="94" orientation="landscape" r:id="rId1"/>
  <rowBreaks count="2" manualBreakCount="2">
    <brk id="36" max="27" man="1"/>
    <brk id="73" max="2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2"/>
  <dimension ref="A1:AB73"/>
  <sheetViews>
    <sheetView view="pageBreakPreview" zoomScale="130" zoomScaleNormal="120" zoomScaleSheetLayoutView="130" workbookViewId="0">
      <selection activeCell="J27" sqref="J27"/>
    </sheetView>
  </sheetViews>
  <sheetFormatPr baseColWidth="10" defaultColWidth="11.42578125" defaultRowHeight="12.75"/>
  <cols>
    <col min="1" max="1" width="2.7109375" style="3" customWidth="1"/>
    <col min="2" max="2" width="3.7109375" style="3" customWidth="1"/>
    <col min="3" max="4" width="2.7109375" style="3" customWidth="1"/>
    <col min="5" max="5" width="17.7109375" style="3" customWidth="1"/>
    <col min="6" max="21" width="6.7109375" style="3" customWidth="1"/>
    <col min="22" max="22" width="8.42578125" style="3" bestFit="1" customWidth="1"/>
    <col min="23" max="16384" width="11.42578125" style="3"/>
  </cols>
  <sheetData>
    <row r="1" spans="1:22" ht="12.75" customHeight="1">
      <c r="A1" s="168">
        <v>63</v>
      </c>
      <c r="B1" s="169" t="s">
        <v>0</v>
      </c>
      <c r="C1" s="169"/>
      <c r="D1" s="169"/>
      <c r="E1" s="169"/>
      <c r="L1" s="109"/>
      <c r="M1" s="109"/>
    </row>
    <row r="2" spans="1:22">
      <c r="A2" s="168"/>
      <c r="B2" s="4" t="s">
        <v>56</v>
      </c>
      <c r="C2" s="4"/>
      <c r="D2" s="4" t="s">
        <v>152</v>
      </c>
      <c r="E2" s="4"/>
    </row>
    <row r="3" spans="1:22">
      <c r="A3" s="168"/>
      <c r="B3" s="5" t="s">
        <v>57</v>
      </c>
      <c r="C3" s="4"/>
      <c r="D3" s="4" t="s">
        <v>186</v>
      </c>
      <c r="E3" s="4"/>
    </row>
    <row r="4" spans="1:22" ht="23.25" customHeight="1">
      <c r="A4" s="168"/>
    </row>
    <row r="5" spans="1:22" s="7" customFormat="1" ht="18.75" customHeight="1">
      <c r="A5" s="168"/>
      <c r="B5" s="170" t="s">
        <v>126</v>
      </c>
      <c r="C5" s="170"/>
      <c r="D5" s="170"/>
      <c r="E5" s="170"/>
      <c r="F5" s="18" t="s">
        <v>34</v>
      </c>
      <c r="G5" s="18" t="s">
        <v>35</v>
      </c>
      <c r="H5" s="18" t="s">
        <v>36</v>
      </c>
      <c r="I5" s="18" t="s">
        <v>37</v>
      </c>
      <c r="J5" s="18" t="s">
        <v>38</v>
      </c>
      <c r="K5" s="18" t="s">
        <v>39</v>
      </c>
      <c r="L5" s="18" t="s">
        <v>40</v>
      </c>
      <c r="M5" s="18" t="s">
        <v>41</v>
      </c>
      <c r="N5" s="18" t="s">
        <v>42</v>
      </c>
      <c r="O5" s="18" t="s">
        <v>43</v>
      </c>
      <c r="P5" s="18" t="s">
        <v>44</v>
      </c>
      <c r="Q5" s="18" t="s">
        <v>45</v>
      </c>
      <c r="R5" s="18" t="s">
        <v>46</v>
      </c>
      <c r="S5" s="18" t="s">
        <v>47</v>
      </c>
      <c r="T5" s="18" t="s">
        <v>48</v>
      </c>
      <c r="U5" s="18" t="s">
        <v>49</v>
      </c>
      <c r="V5" s="18" t="s">
        <v>50</v>
      </c>
    </row>
    <row r="6" spans="1:22">
      <c r="A6" s="168"/>
      <c r="B6" s="9" t="s">
        <v>120</v>
      </c>
      <c r="C6" s="9"/>
      <c r="D6" s="9"/>
      <c r="E6" s="16"/>
      <c r="F6" s="19">
        <v>110302.42000000001</v>
      </c>
      <c r="G6" s="19">
        <v>115301</v>
      </c>
      <c r="H6" s="19">
        <v>35741</v>
      </c>
      <c r="I6" s="19">
        <v>23690.349000000002</v>
      </c>
      <c r="J6" s="19">
        <v>7090</v>
      </c>
      <c r="K6" s="19">
        <v>20350</v>
      </c>
      <c r="L6" s="19">
        <v>62270</v>
      </c>
      <c r="M6" s="19">
        <v>13169</v>
      </c>
      <c r="N6" s="19">
        <v>80160.309999999779</v>
      </c>
      <c r="O6" s="19">
        <v>180360</v>
      </c>
      <c r="P6" s="19">
        <v>36884</v>
      </c>
      <c r="Q6" s="19">
        <v>9012</v>
      </c>
      <c r="R6" s="19">
        <v>34666</v>
      </c>
      <c r="S6" s="19">
        <v>17027</v>
      </c>
      <c r="T6" s="19">
        <v>27014</v>
      </c>
      <c r="U6" s="19">
        <v>18267</v>
      </c>
      <c r="V6" s="19">
        <v>791304.07899999979</v>
      </c>
    </row>
    <row r="7" spans="1:22">
      <c r="A7" s="168"/>
      <c r="B7" s="10" t="s">
        <v>119</v>
      </c>
      <c r="C7" s="10"/>
      <c r="D7" s="10"/>
      <c r="E7" s="9"/>
      <c r="F7" s="20">
        <v>88623.02</v>
      </c>
      <c r="G7" s="20">
        <v>97795</v>
      </c>
      <c r="H7" s="20">
        <v>31509</v>
      </c>
      <c r="I7" s="20">
        <v>21562.183000000001</v>
      </c>
      <c r="J7" s="20">
        <v>5845</v>
      </c>
      <c r="K7" s="20">
        <v>17969</v>
      </c>
      <c r="L7" s="20">
        <v>54112</v>
      </c>
      <c r="M7" s="20">
        <v>11594</v>
      </c>
      <c r="N7" s="20">
        <v>68550</v>
      </c>
      <c r="O7" s="20">
        <v>156672</v>
      </c>
      <c r="P7" s="20">
        <v>32025</v>
      </c>
      <c r="Q7" s="20">
        <v>7586</v>
      </c>
      <c r="R7" s="20">
        <v>29279</v>
      </c>
      <c r="S7" s="20">
        <v>14993</v>
      </c>
      <c r="T7" s="20">
        <v>22915</v>
      </c>
      <c r="U7" s="20">
        <v>15244</v>
      </c>
      <c r="V7" s="20">
        <v>676273.20299999998</v>
      </c>
    </row>
    <row r="8" spans="1:22">
      <c r="A8" s="168"/>
      <c r="B8" s="11" t="s">
        <v>3</v>
      </c>
      <c r="C8" s="11"/>
      <c r="D8" s="11"/>
      <c r="E8" s="11"/>
      <c r="F8" s="19">
        <v>12472.44</v>
      </c>
      <c r="G8" s="19">
        <v>9627</v>
      </c>
      <c r="H8" s="19">
        <v>1871</v>
      </c>
      <c r="I8" s="19">
        <v>2044.8020000000001</v>
      </c>
      <c r="J8" s="19">
        <v>148</v>
      </c>
      <c r="K8" s="19">
        <v>871</v>
      </c>
      <c r="L8" s="19">
        <v>5280</v>
      </c>
      <c r="M8" s="19">
        <v>1068</v>
      </c>
      <c r="N8" s="19">
        <v>4576</v>
      </c>
      <c r="O8" s="19">
        <v>16318</v>
      </c>
      <c r="P8" s="19">
        <v>3700</v>
      </c>
      <c r="Q8" s="19">
        <v>777</v>
      </c>
      <c r="R8" s="19">
        <v>3292</v>
      </c>
      <c r="S8" s="19">
        <v>1919</v>
      </c>
      <c r="T8" s="19">
        <v>1452</v>
      </c>
      <c r="U8" s="19">
        <v>1021</v>
      </c>
      <c r="V8" s="19">
        <v>66437.241999999998</v>
      </c>
    </row>
    <row r="9" spans="1:22">
      <c r="A9" s="168"/>
      <c r="B9" s="12"/>
      <c r="C9" s="12" t="s">
        <v>4</v>
      </c>
      <c r="D9" s="12"/>
      <c r="E9" s="12"/>
      <c r="F9" s="21">
        <v>2583.85</v>
      </c>
      <c r="G9" s="21">
        <v>3710</v>
      </c>
      <c r="H9" s="21">
        <v>103</v>
      </c>
      <c r="I9" s="21">
        <v>612.20500000000004</v>
      </c>
      <c r="J9" s="21">
        <v>23</v>
      </c>
      <c r="K9" s="21">
        <v>175.30037028969724</v>
      </c>
      <c r="L9" s="21">
        <v>1883</v>
      </c>
      <c r="M9" s="21">
        <v>387</v>
      </c>
      <c r="N9" s="21">
        <v>435</v>
      </c>
      <c r="O9" s="21">
        <v>3261</v>
      </c>
      <c r="P9" s="21">
        <v>1072</v>
      </c>
      <c r="Q9" s="21">
        <v>181</v>
      </c>
      <c r="R9" s="21">
        <v>1564</v>
      </c>
      <c r="S9" s="21">
        <v>519</v>
      </c>
      <c r="T9" s="21">
        <v>249</v>
      </c>
      <c r="U9" s="21">
        <v>0</v>
      </c>
      <c r="V9" s="21">
        <v>16758.355370289697</v>
      </c>
    </row>
    <row r="10" spans="1:22">
      <c r="A10" s="168"/>
      <c r="B10" s="13"/>
      <c r="C10" s="13" t="s">
        <v>5</v>
      </c>
      <c r="D10" s="13"/>
      <c r="E10" s="13"/>
      <c r="F10" s="22">
        <v>9888.59</v>
      </c>
      <c r="G10" s="22">
        <v>5917</v>
      </c>
      <c r="H10" s="22">
        <v>1768</v>
      </c>
      <c r="I10" s="22">
        <v>1432.597</v>
      </c>
      <c r="J10" s="22">
        <v>125</v>
      </c>
      <c r="K10" s="22">
        <v>695.69962971030282</v>
      </c>
      <c r="L10" s="22">
        <v>3397</v>
      </c>
      <c r="M10" s="22">
        <v>681</v>
      </c>
      <c r="N10" s="22">
        <v>4141</v>
      </c>
      <c r="O10" s="22">
        <v>13057</v>
      </c>
      <c r="P10" s="22">
        <v>2628</v>
      </c>
      <c r="Q10" s="22">
        <v>596</v>
      </c>
      <c r="R10" s="22">
        <v>1728</v>
      </c>
      <c r="S10" s="22">
        <v>1400</v>
      </c>
      <c r="T10" s="22">
        <v>1203</v>
      </c>
      <c r="U10" s="22">
        <v>0</v>
      </c>
      <c r="V10" s="22">
        <v>48657.886629710309</v>
      </c>
    </row>
    <row r="11" spans="1:22" hidden="1">
      <c r="A11" s="168"/>
      <c r="B11" s="13"/>
      <c r="C11" s="13"/>
      <c r="D11" s="13"/>
      <c r="E11" s="13"/>
      <c r="F11" s="22"/>
      <c r="G11" s="22"/>
      <c r="H11" s="22"/>
      <c r="I11" s="22"/>
      <c r="J11" s="22"/>
      <c r="K11" s="22"/>
      <c r="L11" s="22"/>
      <c r="M11" s="22"/>
      <c r="N11" s="22"/>
      <c r="O11" s="22"/>
      <c r="P11" s="22"/>
      <c r="Q11" s="22"/>
      <c r="R11" s="22"/>
      <c r="S11" s="22"/>
      <c r="T11" s="22"/>
      <c r="U11" s="22"/>
      <c r="V11" s="22"/>
    </row>
    <row r="12" spans="1:22">
      <c r="A12" s="168"/>
      <c r="B12" s="11" t="s">
        <v>6</v>
      </c>
      <c r="C12" s="11"/>
      <c r="D12" s="11"/>
      <c r="E12" s="11"/>
      <c r="F12" s="19">
        <v>1333.08</v>
      </c>
      <c r="G12" s="19">
        <v>0</v>
      </c>
      <c r="H12" s="19">
        <v>0</v>
      </c>
      <c r="I12" s="19">
        <v>0</v>
      </c>
      <c r="J12" s="19">
        <v>1</v>
      </c>
      <c r="K12" s="19">
        <v>711</v>
      </c>
      <c r="L12" s="19">
        <v>471</v>
      </c>
      <c r="M12" s="19">
        <v>0</v>
      </c>
      <c r="N12" s="19">
        <v>146</v>
      </c>
      <c r="O12" s="19">
        <v>249</v>
      </c>
      <c r="P12" s="19">
        <v>4</v>
      </c>
      <c r="Q12" s="19">
        <v>3</v>
      </c>
      <c r="R12" s="19">
        <v>0</v>
      </c>
      <c r="S12" s="19">
        <v>0</v>
      </c>
      <c r="T12" s="19">
        <v>0</v>
      </c>
      <c r="U12" s="19">
        <v>0</v>
      </c>
      <c r="V12" s="19">
        <v>2918.08</v>
      </c>
    </row>
    <row r="13" spans="1:22">
      <c r="A13" s="168"/>
      <c r="B13" s="12"/>
      <c r="C13" s="12" t="s">
        <v>7</v>
      </c>
      <c r="D13" s="12"/>
      <c r="E13" s="12"/>
      <c r="F13" s="21">
        <v>0</v>
      </c>
      <c r="G13" s="21">
        <v>0</v>
      </c>
      <c r="H13" s="21">
        <v>0</v>
      </c>
      <c r="I13" s="21">
        <v>0</v>
      </c>
      <c r="J13" s="21">
        <v>1</v>
      </c>
      <c r="K13" s="21">
        <v>711</v>
      </c>
      <c r="L13" s="21">
        <v>0</v>
      </c>
      <c r="M13" s="21">
        <v>0</v>
      </c>
      <c r="N13" s="21">
        <v>0</v>
      </c>
      <c r="O13" s="21">
        <v>0</v>
      </c>
      <c r="P13" s="21">
        <v>0</v>
      </c>
      <c r="Q13" s="21">
        <v>0</v>
      </c>
      <c r="R13" s="21">
        <v>0</v>
      </c>
      <c r="S13" s="21">
        <v>0</v>
      </c>
      <c r="T13" s="21">
        <v>0</v>
      </c>
      <c r="U13" s="21">
        <v>0</v>
      </c>
      <c r="V13" s="21">
        <v>712</v>
      </c>
    </row>
    <row r="14" spans="1:22">
      <c r="A14" s="168"/>
      <c r="B14" s="13"/>
      <c r="C14" s="13" t="s">
        <v>8</v>
      </c>
      <c r="D14" s="13"/>
      <c r="E14" s="13"/>
      <c r="F14" s="22">
        <v>1333.08</v>
      </c>
      <c r="G14" s="22">
        <v>0</v>
      </c>
      <c r="H14" s="22">
        <v>0</v>
      </c>
      <c r="I14" s="22">
        <v>0</v>
      </c>
      <c r="J14" s="22">
        <v>0</v>
      </c>
      <c r="K14" s="22">
        <v>0</v>
      </c>
      <c r="L14" s="22">
        <v>471</v>
      </c>
      <c r="M14" s="22">
        <v>0</v>
      </c>
      <c r="N14" s="22">
        <v>146</v>
      </c>
      <c r="O14" s="22">
        <v>249</v>
      </c>
      <c r="P14" s="22">
        <v>4</v>
      </c>
      <c r="Q14" s="22">
        <v>3</v>
      </c>
      <c r="R14" s="22">
        <v>0</v>
      </c>
      <c r="S14" s="22">
        <v>0</v>
      </c>
      <c r="T14" s="22">
        <v>0</v>
      </c>
      <c r="U14" s="22">
        <v>0</v>
      </c>
      <c r="V14" s="21">
        <v>2206.08</v>
      </c>
    </row>
    <row r="15" spans="1:22">
      <c r="A15" s="168"/>
      <c r="B15" s="11" t="s">
        <v>123</v>
      </c>
      <c r="C15" s="11"/>
      <c r="D15" s="11"/>
      <c r="E15" s="11"/>
      <c r="F15" s="19">
        <v>24611.86</v>
      </c>
      <c r="G15" s="19">
        <v>28216</v>
      </c>
      <c r="H15" s="19">
        <v>10157</v>
      </c>
      <c r="I15" s="19">
        <v>6181.2290000000003</v>
      </c>
      <c r="J15" s="19">
        <v>1900</v>
      </c>
      <c r="K15" s="19">
        <v>5846</v>
      </c>
      <c r="L15" s="19">
        <v>18024</v>
      </c>
      <c r="M15" s="19">
        <v>3678</v>
      </c>
      <c r="N15" s="19">
        <v>20965</v>
      </c>
      <c r="O15" s="19">
        <v>47979</v>
      </c>
      <c r="P15" s="19">
        <v>10352</v>
      </c>
      <c r="Q15" s="19">
        <v>2445</v>
      </c>
      <c r="R15" s="19">
        <v>9626</v>
      </c>
      <c r="S15" s="19">
        <v>4586</v>
      </c>
      <c r="T15" s="19">
        <v>7499</v>
      </c>
      <c r="U15" s="19">
        <v>4861</v>
      </c>
      <c r="V15" s="24">
        <v>206927.08900000001</v>
      </c>
    </row>
    <row r="16" spans="1:22">
      <c r="A16" s="168"/>
      <c r="B16" s="12"/>
      <c r="C16" s="12" t="s">
        <v>9</v>
      </c>
      <c r="D16" s="12"/>
      <c r="E16" s="12"/>
      <c r="F16" s="21">
        <v>21049.75</v>
      </c>
      <c r="G16" s="21">
        <v>28047</v>
      </c>
      <c r="H16" s="21">
        <v>9093</v>
      </c>
      <c r="I16" s="21">
        <v>6064.4070000000002</v>
      </c>
      <c r="J16" s="21">
        <v>1886</v>
      </c>
      <c r="K16" s="21">
        <v>5355</v>
      </c>
      <c r="L16" s="21">
        <v>17826</v>
      </c>
      <c r="M16" s="21">
        <v>3655</v>
      </c>
      <c r="N16" s="21">
        <v>20679</v>
      </c>
      <c r="O16" s="21">
        <v>47628</v>
      </c>
      <c r="P16" s="21">
        <v>10299</v>
      </c>
      <c r="Q16" s="21">
        <v>2424</v>
      </c>
      <c r="R16" s="21">
        <v>9543</v>
      </c>
      <c r="S16" s="21">
        <v>4557</v>
      </c>
      <c r="T16" s="21">
        <v>7380</v>
      </c>
      <c r="U16" s="21">
        <v>4240</v>
      </c>
      <c r="V16" s="21">
        <v>199726.15700000001</v>
      </c>
    </row>
    <row r="17" spans="1:22">
      <c r="A17" s="168"/>
      <c r="B17" s="12"/>
      <c r="C17" s="12" t="s">
        <v>187</v>
      </c>
      <c r="D17" s="12"/>
      <c r="E17" s="12"/>
      <c r="F17" s="21">
        <v>3059</v>
      </c>
      <c r="G17" s="21">
        <v>0</v>
      </c>
      <c r="H17" s="21">
        <v>981</v>
      </c>
      <c r="I17" s="21">
        <v>76.608000000000004</v>
      </c>
      <c r="J17" s="21">
        <v>0</v>
      </c>
      <c r="K17" s="21">
        <v>398</v>
      </c>
      <c r="L17" s="21">
        <v>0</v>
      </c>
      <c r="M17" s="21">
        <v>0</v>
      </c>
      <c r="N17" s="21">
        <v>112</v>
      </c>
      <c r="O17" s="21">
        <v>101</v>
      </c>
      <c r="P17" s="21">
        <v>0</v>
      </c>
      <c r="Q17" s="21">
        <v>0</v>
      </c>
      <c r="R17" s="21">
        <v>17</v>
      </c>
      <c r="S17" s="21">
        <v>0</v>
      </c>
      <c r="T17" s="21">
        <v>0</v>
      </c>
      <c r="U17" s="21">
        <v>588</v>
      </c>
      <c r="V17" s="21">
        <v>5332.6080000000002</v>
      </c>
    </row>
    <row r="18" spans="1:22">
      <c r="A18" s="168"/>
      <c r="B18" s="13"/>
      <c r="C18" s="13" t="s">
        <v>11</v>
      </c>
      <c r="D18" s="13"/>
      <c r="E18" s="13"/>
      <c r="F18" s="22">
        <v>503.11</v>
      </c>
      <c r="G18" s="22">
        <v>169</v>
      </c>
      <c r="H18" s="22">
        <v>83</v>
      </c>
      <c r="I18" s="22">
        <v>40.213999999999999</v>
      </c>
      <c r="J18" s="22">
        <v>14</v>
      </c>
      <c r="K18" s="22">
        <v>93</v>
      </c>
      <c r="L18" s="22">
        <v>198</v>
      </c>
      <c r="M18" s="22">
        <v>23</v>
      </c>
      <c r="N18" s="22">
        <v>174</v>
      </c>
      <c r="O18" s="22">
        <v>250</v>
      </c>
      <c r="P18" s="22">
        <v>53</v>
      </c>
      <c r="Q18" s="22">
        <v>21</v>
      </c>
      <c r="R18" s="22">
        <v>66</v>
      </c>
      <c r="S18" s="22">
        <v>29</v>
      </c>
      <c r="T18" s="22">
        <v>119</v>
      </c>
      <c r="U18" s="22">
        <v>33</v>
      </c>
      <c r="V18" s="22">
        <v>1868.3240000000001</v>
      </c>
    </row>
    <row r="19" spans="1:22">
      <c r="A19" s="168"/>
      <c r="B19" s="11" t="s">
        <v>124</v>
      </c>
      <c r="C19" s="11"/>
      <c r="D19" s="11"/>
      <c r="E19" s="11"/>
      <c r="F19" s="19">
        <v>40447.229999999996</v>
      </c>
      <c r="G19" s="19">
        <v>52881</v>
      </c>
      <c r="H19" s="19">
        <v>15018</v>
      </c>
      <c r="I19" s="19">
        <v>10543.851999999999</v>
      </c>
      <c r="J19" s="19">
        <v>3061</v>
      </c>
      <c r="K19" s="19">
        <v>8087</v>
      </c>
      <c r="L19" s="19">
        <v>24371</v>
      </c>
      <c r="M19" s="19">
        <v>5384</v>
      </c>
      <c r="N19" s="19">
        <v>35579</v>
      </c>
      <c r="O19" s="19">
        <v>74403</v>
      </c>
      <c r="P19" s="19">
        <v>13924</v>
      </c>
      <c r="Q19" s="19">
        <v>3394</v>
      </c>
      <c r="R19" s="19">
        <v>13174</v>
      </c>
      <c r="S19" s="19">
        <v>6904</v>
      </c>
      <c r="T19" s="19">
        <v>12254</v>
      </c>
      <c r="U19" s="19">
        <v>7534</v>
      </c>
      <c r="V19" s="19">
        <v>326959.08199999999</v>
      </c>
    </row>
    <row r="20" spans="1:22">
      <c r="A20" s="168"/>
      <c r="B20" s="12"/>
      <c r="C20" s="12" t="s">
        <v>12</v>
      </c>
      <c r="D20" s="12"/>
      <c r="E20" s="12"/>
      <c r="F20" s="21">
        <v>0</v>
      </c>
      <c r="G20" s="21">
        <v>50</v>
      </c>
      <c r="H20" s="21">
        <v>4093</v>
      </c>
      <c r="I20" s="21">
        <v>3415.4839999999999</v>
      </c>
      <c r="J20" s="21">
        <v>0</v>
      </c>
      <c r="K20" s="21">
        <v>51</v>
      </c>
      <c r="L20" s="21">
        <v>1240</v>
      </c>
      <c r="M20" s="21">
        <v>0</v>
      </c>
      <c r="N20" s="21">
        <v>0</v>
      </c>
      <c r="O20" s="21">
        <v>0</v>
      </c>
      <c r="P20" s="21">
        <v>0</v>
      </c>
      <c r="Q20" s="21">
        <v>0</v>
      </c>
      <c r="R20" s="21">
        <v>0</v>
      </c>
      <c r="S20" s="21">
        <v>0</v>
      </c>
      <c r="T20" s="21">
        <v>0</v>
      </c>
      <c r="U20" s="21">
        <v>0</v>
      </c>
      <c r="V20" s="21">
        <v>8849.4840000000004</v>
      </c>
    </row>
    <row r="21" spans="1:22">
      <c r="A21" s="168"/>
      <c r="B21" s="12"/>
      <c r="C21" s="12" t="s">
        <v>13</v>
      </c>
      <c r="D21" s="12"/>
      <c r="E21" s="12"/>
      <c r="F21" s="21">
        <v>3590.0099999999998</v>
      </c>
      <c r="G21" s="21">
        <v>0</v>
      </c>
      <c r="H21" s="21">
        <v>0</v>
      </c>
      <c r="I21" s="21">
        <v>0</v>
      </c>
      <c r="J21" s="21">
        <v>0</v>
      </c>
      <c r="K21" s="21">
        <v>0</v>
      </c>
      <c r="L21" s="21">
        <v>2238</v>
      </c>
      <c r="M21" s="21">
        <v>0</v>
      </c>
      <c r="N21" s="21">
        <v>2444</v>
      </c>
      <c r="O21" s="21">
        <v>5247</v>
      </c>
      <c r="P21" s="21">
        <v>27</v>
      </c>
      <c r="Q21" s="21">
        <v>0</v>
      </c>
      <c r="R21" s="21">
        <v>0</v>
      </c>
      <c r="S21" s="21">
        <v>0</v>
      </c>
      <c r="T21" s="21">
        <v>0</v>
      </c>
      <c r="U21" s="21">
        <v>0</v>
      </c>
      <c r="V21" s="21">
        <v>13546.01</v>
      </c>
    </row>
    <row r="22" spans="1:22">
      <c r="A22" s="168"/>
      <c r="B22" s="12"/>
      <c r="C22" s="12" t="s">
        <v>188</v>
      </c>
      <c r="D22" s="12"/>
      <c r="E22" s="12"/>
      <c r="F22" s="21">
        <v>0</v>
      </c>
      <c r="G22" s="21">
        <v>17490</v>
      </c>
      <c r="H22" s="21">
        <v>0</v>
      </c>
      <c r="I22" s="21">
        <v>3364.9479999999999</v>
      </c>
      <c r="J22" s="21">
        <v>0</v>
      </c>
      <c r="K22" s="21">
        <v>0</v>
      </c>
      <c r="L22" s="21">
        <v>706</v>
      </c>
      <c r="M22" s="21">
        <v>3436</v>
      </c>
      <c r="N22" s="21">
        <v>9964</v>
      </c>
      <c r="O22" s="21">
        <v>0</v>
      </c>
      <c r="P22" s="21">
        <v>6001</v>
      </c>
      <c r="Q22" s="21">
        <v>13</v>
      </c>
      <c r="R22" s="21">
        <v>7951</v>
      </c>
      <c r="S22" s="21">
        <v>2880</v>
      </c>
      <c r="T22" s="21">
        <v>0</v>
      </c>
      <c r="U22" s="21">
        <v>3393</v>
      </c>
      <c r="V22" s="21">
        <v>55198.948000000004</v>
      </c>
    </row>
    <row r="23" spans="1:22">
      <c r="A23" s="168"/>
      <c r="B23" s="12"/>
      <c r="C23" s="12" t="s">
        <v>15</v>
      </c>
      <c r="D23" s="12"/>
      <c r="E23" s="12"/>
      <c r="F23" s="21">
        <v>13890.76</v>
      </c>
      <c r="G23" s="21">
        <v>16300</v>
      </c>
      <c r="H23" s="21">
        <v>0</v>
      </c>
      <c r="I23" s="21">
        <v>0</v>
      </c>
      <c r="J23" s="21">
        <v>0</v>
      </c>
      <c r="K23" s="21">
        <v>0</v>
      </c>
      <c r="L23" s="21">
        <v>4298</v>
      </c>
      <c r="M23" s="21">
        <v>0</v>
      </c>
      <c r="N23" s="21">
        <v>4046</v>
      </c>
      <c r="O23" s="21">
        <v>13569</v>
      </c>
      <c r="P23" s="21">
        <v>156</v>
      </c>
      <c r="Q23" s="21">
        <v>54</v>
      </c>
      <c r="R23" s="21">
        <v>0</v>
      </c>
      <c r="S23" s="21">
        <v>0</v>
      </c>
      <c r="T23" s="21">
        <v>0</v>
      </c>
      <c r="U23" s="21">
        <v>0</v>
      </c>
      <c r="V23" s="21">
        <v>52313.760000000002</v>
      </c>
    </row>
    <row r="24" spans="1:22">
      <c r="A24" s="168"/>
      <c r="B24" s="12"/>
      <c r="C24" s="12" t="s">
        <v>16</v>
      </c>
      <c r="D24" s="12"/>
      <c r="E24" s="12"/>
      <c r="F24" s="21">
        <v>13660.130000000001</v>
      </c>
      <c r="G24" s="21"/>
      <c r="H24" s="21">
        <v>3497</v>
      </c>
      <c r="I24" s="21">
        <v>2027.1990000000001</v>
      </c>
      <c r="J24" s="21">
        <v>425</v>
      </c>
      <c r="K24" s="21">
        <v>2951</v>
      </c>
      <c r="L24" s="21">
        <v>9691</v>
      </c>
      <c r="M24" s="21">
        <v>1303</v>
      </c>
      <c r="N24" s="21">
        <v>12242</v>
      </c>
      <c r="O24" s="21">
        <v>24230</v>
      </c>
      <c r="P24" s="21">
        <v>5014</v>
      </c>
      <c r="Q24" s="21">
        <v>1023</v>
      </c>
      <c r="R24" s="21">
        <v>4973</v>
      </c>
      <c r="S24" s="21">
        <v>2367</v>
      </c>
      <c r="T24" s="21">
        <v>4201</v>
      </c>
      <c r="U24" s="21">
        <v>2303</v>
      </c>
      <c r="V24" s="21">
        <v>108413.329</v>
      </c>
    </row>
    <row r="25" spans="1:22">
      <c r="A25" s="168"/>
      <c r="B25" s="12"/>
      <c r="C25" s="12" t="s">
        <v>187</v>
      </c>
      <c r="D25" s="12"/>
      <c r="E25" s="12"/>
      <c r="F25" s="21">
        <v>8361.3799999999992</v>
      </c>
      <c r="G25" s="21">
        <v>174</v>
      </c>
      <c r="H25" s="21">
        <v>7179</v>
      </c>
      <c r="I25" s="21">
        <v>1619.3239999999998</v>
      </c>
      <c r="J25" s="21">
        <v>2575</v>
      </c>
      <c r="K25" s="21">
        <v>4893</v>
      </c>
      <c r="L25" s="21">
        <v>5852</v>
      </c>
      <c r="M25" s="21">
        <v>605</v>
      </c>
      <c r="N25" s="21">
        <v>6581</v>
      </c>
      <c r="O25" s="21">
        <v>30240</v>
      </c>
      <c r="P25" s="21">
        <v>2625</v>
      </c>
      <c r="Q25" s="21">
        <v>2255</v>
      </c>
      <c r="R25" s="21">
        <v>73</v>
      </c>
      <c r="S25" s="21">
        <v>1594</v>
      </c>
      <c r="T25" s="21">
        <v>7883</v>
      </c>
      <c r="U25" s="21">
        <v>1769</v>
      </c>
      <c r="V25" s="21">
        <v>84278.703999999998</v>
      </c>
    </row>
    <row r="26" spans="1:22">
      <c r="A26" s="168"/>
      <c r="B26" s="12"/>
      <c r="C26" s="12" t="s">
        <v>11</v>
      </c>
      <c r="D26" s="12"/>
      <c r="E26" s="12"/>
      <c r="F26" s="21">
        <v>905.95</v>
      </c>
      <c r="G26" s="21">
        <v>342</v>
      </c>
      <c r="H26" s="21">
        <v>211</v>
      </c>
      <c r="I26" s="21">
        <v>66.694999999999993</v>
      </c>
      <c r="J26" s="21">
        <v>30</v>
      </c>
      <c r="K26" s="21">
        <v>151</v>
      </c>
      <c r="L26" s="21">
        <v>228</v>
      </c>
      <c r="M26" s="21">
        <v>40</v>
      </c>
      <c r="N26" s="21">
        <v>302</v>
      </c>
      <c r="O26" s="21">
        <v>751</v>
      </c>
      <c r="P26" s="21">
        <v>101</v>
      </c>
      <c r="Q26" s="21">
        <v>46</v>
      </c>
      <c r="R26" s="21">
        <v>148</v>
      </c>
      <c r="S26" s="21">
        <v>59</v>
      </c>
      <c r="T26" s="21">
        <v>170</v>
      </c>
      <c r="U26" s="21">
        <v>69</v>
      </c>
      <c r="V26" s="21">
        <v>3620.645</v>
      </c>
    </row>
    <row r="27" spans="1:22">
      <c r="A27" s="168"/>
      <c r="B27" s="12"/>
      <c r="C27" s="12" t="s">
        <v>17</v>
      </c>
      <c r="D27" s="12"/>
      <c r="E27" s="12"/>
      <c r="F27" s="21">
        <v>0</v>
      </c>
      <c r="G27" s="21">
        <v>0</v>
      </c>
      <c r="H27" s="21">
        <v>13</v>
      </c>
      <c r="I27" s="21">
        <v>0</v>
      </c>
      <c r="J27" s="21">
        <v>10</v>
      </c>
      <c r="K27" s="21">
        <v>0</v>
      </c>
      <c r="L27" s="21">
        <v>24</v>
      </c>
      <c r="M27" s="21">
        <v>0</v>
      </c>
      <c r="N27" s="21">
        <v>0</v>
      </c>
      <c r="O27" s="21">
        <v>0</v>
      </c>
      <c r="P27" s="21">
        <v>0</v>
      </c>
      <c r="Q27" s="21">
        <v>0</v>
      </c>
      <c r="R27" s="21">
        <v>0</v>
      </c>
      <c r="S27" s="21">
        <v>0</v>
      </c>
      <c r="T27" s="21">
        <v>0</v>
      </c>
      <c r="U27" s="21">
        <v>0</v>
      </c>
      <c r="V27" s="21">
        <v>47</v>
      </c>
    </row>
    <row r="28" spans="1:22">
      <c r="A28" s="168"/>
      <c r="B28" s="13"/>
      <c r="C28" s="13" t="s">
        <v>18</v>
      </c>
      <c r="D28" s="13"/>
      <c r="E28" s="13"/>
      <c r="F28" s="22">
        <v>39</v>
      </c>
      <c r="G28" s="22">
        <v>19</v>
      </c>
      <c r="H28" s="22">
        <v>25</v>
      </c>
      <c r="I28" s="22">
        <v>50.201999999999998</v>
      </c>
      <c r="J28" s="22">
        <v>21</v>
      </c>
      <c r="K28" s="22">
        <v>41</v>
      </c>
      <c r="L28" s="22">
        <v>94</v>
      </c>
      <c r="M28" s="22">
        <v>0</v>
      </c>
      <c r="N28" s="22">
        <v>0</v>
      </c>
      <c r="O28" s="22">
        <v>366</v>
      </c>
      <c r="P28" s="22">
        <v>0</v>
      </c>
      <c r="Q28" s="22">
        <v>3</v>
      </c>
      <c r="R28" s="22">
        <v>29</v>
      </c>
      <c r="S28" s="22">
        <v>4</v>
      </c>
      <c r="T28" s="22">
        <v>0</v>
      </c>
      <c r="U28" s="22">
        <v>0</v>
      </c>
      <c r="V28" s="21">
        <v>691.202</v>
      </c>
    </row>
    <row r="29" spans="1:22">
      <c r="A29" s="168"/>
      <c r="B29" s="9" t="s">
        <v>125</v>
      </c>
      <c r="C29" s="9"/>
      <c r="D29" s="9"/>
      <c r="E29" s="9"/>
      <c r="F29" s="20">
        <v>31437.810000000005</v>
      </c>
      <c r="G29" s="20">
        <v>24577</v>
      </c>
      <c r="H29" s="20">
        <v>8695</v>
      </c>
      <c r="I29" s="20">
        <v>4920.4660000000003</v>
      </c>
      <c r="J29" s="20">
        <v>1980</v>
      </c>
      <c r="K29" s="20">
        <v>4835</v>
      </c>
      <c r="L29" s="20">
        <v>14124</v>
      </c>
      <c r="M29" s="20">
        <v>3039</v>
      </c>
      <c r="N29" s="20">
        <v>18894.309999999787</v>
      </c>
      <c r="O29" s="20">
        <v>41411</v>
      </c>
      <c r="P29" s="20">
        <v>8904</v>
      </c>
      <c r="Q29" s="20">
        <v>2393</v>
      </c>
      <c r="R29" s="20">
        <v>8574</v>
      </c>
      <c r="S29" s="20">
        <v>3618</v>
      </c>
      <c r="T29" s="20">
        <v>5809</v>
      </c>
      <c r="U29" s="20">
        <v>4851</v>
      </c>
      <c r="V29" s="20">
        <v>188062.58599999978</v>
      </c>
    </row>
    <row r="30" spans="1:22" ht="25.5" customHeight="1">
      <c r="A30" s="168"/>
      <c r="B30" s="183" t="s">
        <v>132</v>
      </c>
      <c r="C30" s="183"/>
      <c r="D30" s="183"/>
      <c r="E30" s="183"/>
      <c r="F30" s="19">
        <v>9758.4100000000017</v>
      </c>
      <c r="G30" s="19">
        <v>7071</v>
      </c>
      <c r="H30" s="19">
        <v>4463</v>
      </c>
      <c r="I30" s="19">
        <v>2792.2999999999997</v>
      </c>
      <c r="J30" s="19">
        <v>735</v>
      </c>
      <c r="K30" s="19">
        <v>2454</v>
      </c>
      <c r="L30" s="19">
        <v>5966</v>
      </c>
      <c r="M30" s="19">
        <v>1464</v>
      </c>
      <c r="N30" s="19">
        <v>7284</v>
      </c>
      <c r="O30" s="19">
        <v>17723</v>
      </c>
      <c r="P30" s="19">
        <v>4045</v>
      </c>
      <c r="Q30" s="19">
        <v>967</v>
      </c>
      <c r="R30" s="19">
        <v>3187</v>
      </c>
      <c r="S30" s="19">
        <v>1584</v>
      </c>
      <c r="T30" s="19">
        <v>1710</v>
      </c>
      <c r="U30" s="19">
        <v>1828</v>
      </c>
      <c r="V30" s="19">
        <v>73031.709999999992</v>
      </c>
    </row>
    <row r="31" spans="1:22">
      <c r="A31" s="168"/>
      <c r="B31" s="12"/>
      <c r="C31" s="12" t="s">
        <v>112</v>
      </c>
      <c r="D31" s="12"/>
      <c r="E31" s="12"/>
      <c r="F31" s="21">
        <v>9080.7900000000009</v>
      </c>
      <c r="G31" s="21">
        <v>6767</v>
      </c>
      <c r="H31" s="21">
        <v>2811</v>
      </c>
      <c r="I31" s="21">
        <v>2082.2739999999999</v>
      </c>
      <c r="J31" s="21">
        <v>329</v>
      </c>
      <c r="K31" s="21">
        <v>1560</v>
      </c>
      <c r="L31" s="21">
        <v>5797</v>
      </c>
      <c r="M31" s="21">
        <v>1270</v>
      </c>
      <c r="N31" s="21">
        <v>5823</v>
      </c>
      <c r="O31" s="21">
        <v>10668</v>
      </c>
      <c r="P31" s="21">
        <v>3050</v>
      </c>
      <c r="Q31" s="21">
        <v>734</v>
      </c>
      <c r="R31" s="21">
        <v>3042</v>
      </c>
      <c r="S31" s="21">
        <v>1460</v>
      </c>
      <c r="T31" s="21">
        <v>956</v>
      </c>
      <c r="U31" s="21">
        <v>1609</v>
      </c>
      <c r="V31" s="21">
        <v>57039.063999999998</v>
      </c>
    </row>
    <row r="32" spans="1:22">
      <c r="A32" s="168"/>
      <c r="B32" s="12"/>
      <c r="C32" s="12" t="s">
        <v>187</v>
      </c>
      <c r="D32" s="12"/>
      <c r="E32" s="12"/>
      <c r="F32" s="21">
        <v>196.42</v>
      </c>
      <c r="G32" s="21">
        <v>10</v>
      </c>
      <c r="H32" s="21">
        <v>1395</v>
      </c>
      <c r="I32" s="21">
        <v>629.66300000000001</v>
      </c>
      <c r="J32" s="21">
        <v>372</v>
      </c>
      <c r="K32" s="21">
        <v>807</v>
      </c>
      <c r="L32" s="21">
        <v>0</v>
      </c>
      <c r="M32" s="21">
        <v>157</v>
      </c>
      <c r="N32" s="21">
        <v>1225</v>
      </c>
      <c r="O32" s="21">
        <v>6292</v>
      </c>
      <c r="P32" s="21">
        <v>904</v>
      </c>
      <c r="Q32" s="21">
        <v>204</v>
      </c>
      <c r="R32" s="21">
        <v>14</v>
      </c>
      <c r="S32" s="21">
        <v>80</v>
      </c>
      <c r="T32" s="21">
        <v>671</v>
      </c>
      <c r="U32" s="21">
        <v>178</v>
      </c>
      <c r="V32" s="21">
        <v>13135.083000000001</v>
      </c>
    </row>
    <row r="33" spans="1:22">
      <c r="A33" s="168"/>
      <c r="B33" s="12"/>
      <c r="C33" s="12" t="s">
        <v>11</v>
      </c>
      <c r="D33" s="12"/>
      <c r="E33" s="12"/>
      <c r="F33" s="21">
        <v>370.54</v>
      </c>
      <c r="G33" s="21">
        <v>155</v>
      </c>
      <c r="H33" s="21">
        <v>96</v>
      </c>
      <c r="I33" s="21">
        <v>34.226999999999997</v>
      </c>
      <c r="J33" s="21">
        <v>8</v>
      </c>
      <c r="K33" s="21">
        <v>45</v>
      </c>
      <c r="L33" s="21">
        <v>66</v>
      </c>
      <c r="M33" s="21">
        <v>16</v>
      </c>
      <c r="N33" s="21">
        <v>130</v>
      </c>
      <c r="O33" s="21">
        <v>115</v>
      </c>
      <c r="P33" s="21">
        <v>40</v>
      </c>
      <c r="Q33" s="21">
        <v>16</v>
      </c>
      <c r="R33" s="21">
        <v>46</v>
      </c>
      <c r="S33" s="21">
        <v>16</v>
      </c>
      <c r="T33" s="21">
        <v>57</v>
      </c>
      <c r="U33" s="21">
        <v>30</v>
      </c>
      <c r="V33" s="21">
        <v>1240.7669999999998</v>
      </c>
    </row>
    <row r="34" spans="1:22">
      <c r="A34" s="168"/>
      <c r="B34" s="12"/>
      <c r="C34" s="12" t="s">
        <v>19</v>
      </c>
      <c r="D34" s="12"/>
      <c r="E34" s="12"/>
      <c r="F34" s="21">
        <v>84.46</v>
      </c>
      <c r="G34" s="21">
        <v>37</v>
      </c>
      <c r="H34" s="21">
        <v>22</v>
      </c>
      <c r="I34" s="21">
        <v>21.635999999999999</v>
      </c>
      <c r="J34" s="21">
        <v>11</v>
      </c>
      <c r="K34" s="21">
        <v>30</v>
      </c>
      <c r="L34" s="21">
        <v>70</v>
      </c>
      <c r="M34" s="21">
        <v>21</v>
      </c>
      <c r="N34" s="21">
        <v>51</v>
      </c>
      <c r="O34" s="21">
        <v>283</v>
      </c>
      <c r="P34" s="21">
        <v>20</v>
      </c>
      <c r="Q34" s="21">
        <v>9</v>
      </c>
      <c r="R34" s="21">
        <v>21</v>
      </c>
      <c r="S34" s="21">
        <v>6</v>
      </c>
      <c r="T34" s="21">
        <v>26</v>
      </c>
      <c r="U34" s="21">
        <v>0</v>
      </c>
      <c r="V34" s="21">
        <v>713.096</v>
      </c>
    </row>
    <row r="35" spans="1:22">
      <c r="A35" s="168"/>
      <c r="B35" s="14"/>
      <c r="C35" s="14" t="s">
        <v>20</v>
      </c>
      <c r="D35" s="14"/>
      <c r="E35" s="14"/>
      <c r="F35" s="22">
        <v>26.2</v>
      </c>
      <c r="G35" s="22">
        <v>102</v>
      </c>
      <c r="H35" s="22">
        <v>139</v>
      </c>
      <c r="I35" s="22">
        <v>24.5</v>
      </c>
      <c r="J35" s="22">
        <v>15</v>
      </c>
      <c r="K35" s="22">
        <v>12</v>
      </c>
      <c r="L35" s="22">
        <v>33</v>
      </c>
      <c r="M35" s="22">
        <v>0</v>
      </c>
      <c r="N35" s="22">
        <v>55</v>
      </c>
      <c r="O35" s="22">
        <v>365</v>
      </c>
      <c r="P35" s="22">
        <v>31</v>
      </c>
      <c r="Q35" s="22">
        <v>4</v>
      </c>
      <c r="R35" s="22">
        <v>64</v>
      </c>
      <c r="S35" s="22">
        <v>22</v>
      </c>
      <c r="T35" s="22">
        <v>0</v>
      </c>
      <c r="U35" s="22">
        <v>11</v>
      </c>
      <c r="V35" s="22">
        <v>903.7</v>
      </c>
    </row>
    <row r="36" spans="1:22" ht="18" customHeight="1">
      <c r="A36" s="168"/>
      <c r="B36" s="15"/>
      <c r="C36" s="15"/>
      <c r="D36" s="15"/>
      <c r="E36" s="15"/>
      <c r="F36" s="21"/>
      <c r="G36" s="21"/>
      <c r="H36" s="21"/>
      <c r="I36" s="21"/>
      <c r="J36" s="21"/>
      <c r="K36" s="21"/>
      <c r="L36" s="21"/>
      <c r="M36" s="21"/>
      <c r="N36" s="21"/>
      <c r="O36" s="21"/>
      <c r="P36" s="21"/>
      <c r="Q36" s="21"/>
      <c r="R36" s="21"/>
      <c r="S36" s="21"/>
      <c r="T36" s="21"/>
      <c r="U36" s="21"/>
      <c r="V36" s="21"/>
    </row>
    <row r="37" spans="1:22">
      <c r="A37" s="168">
        <v>64</v>
      </c>
      <c r="B37" s="11" t="s">
        <v>128</v>
      </c>
      <c r="C37" s="11"/>
      <c r="D37" s="11"/>
      <c r="E37" s="11"/>
      <c r="F37" s="19">
        <v>21679.4</v>
      </c>
      <c r="G37" s="19">
        <v>17506</v>
      </c>
      <c r="H37" s="19">
        <v>4232</v>
      </c>
      <c r="I37" s="19">
        <v>2128.1660000000002</v>
      </c>
      <c r="J37" s="19">
        <v>1245</v>
      </c>
      <c r="K37" s="19">
        <v>2381</v>
      </c>
      <c r="L37" s="19">
        <v>8158</v>
      </c>
      <c r="M37" s="19">
        <v>1575</v>
      </c>
      <c r="N37" s="19">
        <v>11610.309999999785</v>
      </c>
      <c r="O37" s="19">
        <v>23688</v>
      </c>
      <c r="P37" s="19">
        <v>4859</v>
      </c>
      <c r="Q37" s="19">
        <v>1426</v>
      </c>
      <c r="R37" s="19">
        <v>5387</v>
      </c>
      <c r="S37" s="19">
        <v>2034</v>
      </c>
      <c r="T37" s="19">
        <v>4099</v>
      </c>
      <c r="U37" s="19">
        <v>3023</v>
      </c>
      <c r="V37" s="19">
        <v>115030.87599999979</v>
      </c>
    </row>
    <row r="38" spans="1:22">
      <c r="A38" s="168"/>
      <c r="B38" s="12"/>
      <c r="C38" s="12" t="s">
        <v>21</v>
      </c>
      <c r="D38" s="12"/>
      <c r="E38" s="12"/>
      <c r="F38" s="21">
        <v>8148.05</v>
      </c>
      <c r="G38" s="21">
        <v>8514</v>
      </c>
      <c r="H38" s="21">
        <v>2025</v>
      </c>
      <c r="I38" s="21">
        <v>964.29100000000005</v>
      </c>
      <c r="J38" s="21">
        <v>745</v>
      </c>
      <c r="K38" s="21">
        <v>1676</v>
      </c>
      <c r="L38" s="21">
        <v>3705</v>
      </c>
      <c r="M38" s="21">
        <v>679</v>
      </c>
      <c r="N38" s="21">
        <v>5597.9525226724218</v>
      </c>
      <c r="O38" s="21">
        <v>10390</v>
      </c>
      <c r="P38" s="21">
        <v>2185</v>
      </c>
      <c r="Q38" s="21">
        <v>709</v>
      </c>
      <c r="R38" s="21">
        <v>2217</v>
      </c>
      <c r="S38" s="21">
        <v>1005</v>
      </c>
      <c r="T38" s="21">
        <v>2333</v>
      </c>
      <c r="U38" s="21">
        <v>1246</v>
      </c>
      <c r="V38" s="21">
        <v>52139.293522672422</v>
      </c>
    </row>
    <row r="39" spans="1:22">
      <c r="A39" s="168"/>
      <c r="B39" s="12"/>
      <c r="C39" s="12"/>
      <c r="D39" s="12" t="s">
        <v>22</v>
      </c>
      <c r="E39" s="12"/>
      <c r="F39" s="21">
        <v>5395.8</v>
      </c>
      <c r="G39" s="21">
        <v>6618</v>
      </c>
      <c r="H39" s="21">
        <v>1305</v>
      </c>
      <c r="I39" s="21">
        <v>964.29100000000005</v>
      </c>
      <c r="J39" s="21">
        <v>521</v>
      </c>
      <c r="K39" s="21">
        <v>1049</v>
      </c>
      <c r="L39" s="21">
        <v>3061</v>
      </c>
      <c r="M39" s="21">
        <v>545</v>
      </c>
      <c r="N39" s="21">
        <v>3969.584454688084</v>
      </c>
      <c r="O39" s="21">
        <v>8353</v>
      </c>
      <c r="P39" s="21">
        <v>1700</v>
      </c>
      <c r="Q39" s="21">
        <v>491</v>
      </c>
      <c r="R39" s="21">
        <v>1792</v>
      </c>
      <c r="S39" s="21">
        <v>733</v>
      </c>
      <c r="T39" s="21">
        <v>1678</v>
      </c>
      <c r="U39" s="21">
        <v>990</v>
      </c>
      <c r="V39" s="21">
        <v>39165.675454688084</v>
      </c>
    </row>
    <row r="40" spans="1:22">
      <c r="A40" s="168"/>
      <c r="B40" s="12"/>
      <c r="C40" s="12"/>
      <c r="D40" s="12" t="s">
        <v>23</v>
      </c>
      <c r="E40" s="12"/>
      <c r="F40" s="21">
        <v>2703.46</v>
      </c>
      <c r="G40" s="21">
        <v>1498</v>
      </c>
      <c r="H40" s="21">
        <v>720</v>
      </c>
      <c r="I40" s="21">
        <v>0</v>
      </c>
      <c r="J40" s="21">
        <v>224</v>
      </c>
      <c r="K40" s="21">
        <v>627</v>
      </c>
      <c r="L40" s="21">
        <v>644</v>
      </c>
      <c r="M40" s="21">
        <v>134</v>
      </c>
      <c r="N40" s="21">
        <v>1628.3680679843376</v>
      </c>
      <c r="O40" s="21">
        <v>2037</v>
      </c>
      <c r="P40" s="21">
        <v>485</v>
      </c>
      <c r="Q40" s="21">
        <v>218</v>
      </c>
      <c r="R40" s="21">
        <v>363</v>
      </c>
      <c r="S40" s="21">
        <v>272</v>
      </c>
      <c r="T40" s="21">
        <v>634</v>
      </c>
      <c r="U40" s="21">
        <v>256</v>
      </c>
      <c r="V40" s="21">
        <v>12443.828067984339</v>
      </c>
    </row>
    <row r="41" spans="1:22">
      <c r="A41" s="168"/>
      <c r="B41" s="12"/>
      <c r="C41" s="12"/>
      <c r="D41" s="12" t="s">
        <v>24</v>
      </c>
      <c r="E41" s="12"/>
      <c r="F41" s="21">
        <v>48.79</v>
      </c>
      <c r="G41" s="21">
        <v>398</v>
      </c>
      <c r="H41" s="21">
        <v>0</v>
      </c>
      <c r="I41" s="21">
        <v>0</v>
      </c>
      <c r="J41" s="21">
        <v>0</v>
      </c>
      <c r="K41" s="21">
        <v>0</v>
      </c>
      <c r="L41" s="21">
        <v>0</v>
      </c>
      <c r="M41" s="21">
        <v>0</v>
      </c>
      <c r="N41" s="21">
        <v>0</v>
      </c>
      <c r="O41" s="21">
        <v>0</v>
      </c>
      <c r="P41" s="21">
        <v>0</v>
      </c>
      <c r="Q41" s="21">
        <v>0</v>
      </c>
      <c r="R41" s="21">
        <v>62</v>
      </c>
      <c r="S41" s="21">
        <v>0</v>
      </c>
      <c r="T41" s="21">
        <v>21</v>
      </c>
      <c r="U41" s="21">
        <v>0</v>
      </c>
      <c r="V41" s="21">
        <v>529.79</v>
      </c>
    </row>
    <row r="42" spans="1:22">
      <c r="A42" s="168"/>
      <c r="B42" s="12"/>
      <c r="C42" s="12" t="s">
        <v>25</v>
      </c>
      <c r="D42" s="12"/>
      <c r="E42" s="12"/>
      <c r="F42" s="21">
        <v>1.49</v>
      </c>
      <c r="G42" s="21">
        <v>0</v>
      </c>
      <c r="H42" s="21">
        <v>0</v>
      </c>
      <c r="I42" s="21">
        <v>0</v>
      </c>
      <c r="J42" s="21">
        <v>0</v>
      </c>
      <c r="K42" s="21">
        <v>0</v>
      </c>
      <c r="L42" s="21">
        <v>0</v>
      </c>
      <c r="M42" s="21">
        <v>0</v>
      </c>
      <c r="N42" s="21">
        <v>0</v>
      </c>
      <c r="O42" s="21">
        <v>0</v>
      </c>
      <c r="P42" s="21">
        <v>0</v>
      </c>
      <c r="Q42" s="21">
        <v>0</v>
      </c>
      <c r="R42" s="21">
        <v>0</v>
      </c>
      <c r="S42" s="21">
        <v>0</v>
      </c>
      <c r="T42" s="21">
        <v>0</v>
      </c>
      <c r="U42" s="21">
        <v>0</v>
      </c>
      <c r="V42" s="21">
        <v>1.49</v>
      </c>
    </row>
    <row r="43" spans="1:22">
      <c r="A43" s="168"/>
      <c r="B43" s="12"/>
      <c r="C43" s="12" t="s">
        <v>26</v>
      </c>
      <c r="D43" s="12"/>
      <c r="E43" s="12"/>
      <c r="F43" s="21">
        <v>7446.4500000000007</v>
      </c>
      <c r="G43" s="21">
        <v>1826</v>
      </c>
      <c r="H43" s="21">
        <v>968</v>
      </c>
      <c r="I43" s="21">
        <v>309.49099999999999</v>
      </c>
      <c r="J43" s="21">
        <v>241</v>
      </c>
      <c r="K43" s="21">
        <v>373</v>
      </c>
      <c r="L43" s="21">
        <v>1538</v>
      </c>
      <c r="M43" s="21">
        <v>602</v>
      </c>
      <c r="N43" s="21">
        <v>2939.9605230208113</v>
      </c>
      <c r="O43" s="21">
        <v>7526</v>
      </c>
      <c r="P43" s="21">
        <v>1332</v>
      </c>
      <c r="Q43" s="21">
        <v>292</v>
      </c>
      <c r="R43" s="21">
        <v>1510</v>
      </c>
      <c r="S43" s="21">
        <v>479</v>
      </c>
      <c r="T43" s="21">
        <v>803</v>
      </c>
      <c r="U43" s="21">
        <v>1027</v>
      </c>
      <c r="V43" s="21">
        <v>29212.901523020813</v>
      </c>
    </row>
    <row r="44" spans="1:22">
      <c r="A44" s="168"/>
      <c r="B44" s="12"/>
      <c r="C44" s="12" t="s">
        <v>27</v>
      </c>
      <c r="D44" s="12"/>
      <c r="E44" s="12"/>
      <c r="F44" s="21">
        <v>64.55</v>
      </c>
      <c r="G44" s="21">
        <v>554</v>
      </c>
      <c r="H44" s="21">
        <v>38</v>
      </c>
      <c r="I44" s="21">
        <v>0</v>
      </c>
      <c r="J44" s="21">
        <v>6</v>
      </c>
      <c r="K44" s="21">
        <v>13</v>
      </c>
      <c r="L44" s="21">
        <v>0</v>
      </c>
      <c r="M44" s="21">
        <v>0</v>
      </c>
      <c r="N44" s="21">
        <v>1.3604474958338517</v>
      </c>
      <c r="O44" s="21">
        <v>0</v>
      </c>
      <c r="P44" s="21">
        <v>70</v>
      </c>
      <c r="Q44" s="21">
        <v>0</v>
      </c>
      <c r="R44" s="21">
        <v>0</v>
      </c>
      <c r="S44" s="21">
        <v>0</v>
      </c>
      <c r="T44" s="21">
        <v>33</v>
      </c>
      <c r="U44" s="21">
        <v>0</v>
      </c>
      <c r="V44" s="21">
        <v>779.91044749583375</v>
      </c>
    </row>
    <row r="45" spans="1:22">
      <c r="A45" s="168"/>
      <c r="B45" s="12"/>
      <c r="C45" s="12" t="s">
        <v>28</v>
      </c>
      <c r="D45" s="12"/>
      <c r="E45" s="12"/>
      <c r="F45" s="21">
        <v>4826.09</v>
      </c>
      <c r="G45" s="21">
        <v>0</v>
      </c>
      <c r="H45" s="21">
        <v>390</v>
      </c>
      <c r="I45" s="21">
        <v>370.928</v>
      </c>
      <c r="J45" s="21">
        <v>93</v>
      </c>
      <c r="K45" s="21">
        <v>79</v>
      </c>
      <c r="L45" s="21">
        <v>1301</v>
      </c>
      <c r="M45" s="21">
        <v>184</v>
      </c>
      <c r="N45" s="21">
        <v>1440.229066069973</v>
      </c>
      <c r="O45" s="21">
        <v>2660</v>
      </c>
      <c r="P45" s="21">
        <v>653</v>
      </c>
      <c r="Q45" s="21">
        <v>131</v>
      </c>
      <c r="R45" s="21">
        <v>690</v>
      </c>
      <c r="S45" s="21">
        <v>171</v>
      </c>
      <c r="T45" s="21">
        <v>551</v>
      </c>
      <c r="U45" s="21">
        <v>325</v>
      </c>
      <c r="V45" s="21">
        <v>13865.247066069973</v>
      </c>
    </row>
    <row r="46" spans="1:22">
      <c r="A46" s="168"/>
      <c r="B46" s="12"/>
      <c r="C46" s="12" t="s">
        <v>29</v>
      </c>
      <c r="D46" s="12"/>
      <c r="E46" s="12"/>
      <c r="F46" s="21">
        <v>0</v>
      </c>
      <c r="G46" s="21">
        <v>3784</v>
      </c>
      <c r="H46" s="21">
        <v>206</v>
      </c>
      <c r="I46" s="21">
        <v>153.85499999999999</v>
      </c>
      <c r="J46" s="21">
        <v>65</v>
      </c>
      <c r="K46" s="21">
        <v>21</v>
      </c>
      <c r="L46" s="21">
        <v>923</v>
      </c>
      <c r="M46" s="21">
        <v>1</v>
      </c>
      <c r="N46" s="21">
        <v>709.04075146553794</v>
      </c>
      <c r="O46" s="21">
        <v>773</v>
      </c>
      <c r="P46" s="21">
        <v>107</v>
      </c>
      <c r="Q46" s="21">
        <v>187</v>
      </c>
      <c r="R46" s="21">
        <v>362</v>
      </c>
      <c r="S46" s="21">
        <v>138</v>
      </c>
      <c r="T46" s="21">
        <v>23</v>
      </c>
      <c r="U46" s="21">
        <v>126</v>
      </c>
      <c r="V46" s="21">
        <v>7578.8957514655376</v>
      </c>
    </row>
    <row r="47" spans="1:22">
      <c r="A47" s="168"/>
      <c r="B47" s="12"/>
      <c r="C47" s="12" t="s">
        <v>30</v>
      </c>
      <c r="D47" s="12"/>
      <c r="E47" s="12"/>
      <c r="F47" s="21">
        <v>1192.77</v>
      </c>
      <c r="G47" s="21">
        <v>1338</v>
      </c>
      <c r="H47" s="21">
        <v>605</v>
      </c>
      <c r="I47" s="21">
        <v>329.601</v>
      </c>
      <c r="J47" s="21">
        <v>95</v>
      </c>
      <c r="K47" s="21">
        <v>219</v>
      </c>
      <c r="L47" s="21">
        <v>691</v>
      </c>
      <c r="M47" s="21">
        <v>109</v>
      </c>
      <c r="N47" s="21">
        <v>921.76668927520825</v>
      </c>
      <c r="O47" s="21">
        <v>2339</v>
      </c>
      <c r="P47" s="21">
        <v>512</v>
      </c>
      <c r="Q47" s="21">
        <v>107</v>
      </c>
      <c r="R47" s="21">
        <v>608</v>
      </c>
      <c r="S47" s="21">
        <v>241</v>
      </c>
      <c r="T47" s="21">
        <v>356</v>
      </c>
      <c r="U47" s="21">
        <v>299</v>
      </c>
      <c r="V47" s="21">
        <v>9963.1376892752087</v>
      </c>
    </row>
    <row r="48" spans="1:22">
      <c r="A48" s="168"/>
      <c r="B48" s="12"/>
      <c r="C48" s="12" t="s">
        <v>31</v>
      </c>
      <c r="D48" s="12"/>
      <c r="E48" s="12"/>
      <c r="F48" s="22">
        <v>0</v>
      </c>
      <c r="G48" s="22">
        <v>1490</v>
      </c>
      <c r="H48" s="22">
        <v>0</v>
      </c>
      <c r="I48" s="22">
        <v>0</v>
      </c>
      <c r="J48" s="22">
        <v>0</v>
      </c>
      <c r="K48" s="22">
        <v>0</v>
      </c>
      <c r="L48" s="22">
        <v>0</v>
      </c>
      <c r="M48" s="22">
        <v>0</v>
      </c>
      <c r="N48" s="22">
        <v>0</v>
      </c>
      <c r="O48" s="22">
        <v>0</v>
      </c>
      <c r="P48" s="22">
        <v>0</v>
      </c>
      <c r="Q48" s="22">
        <v>0</v>
      </c>
      <c r="R48" s="22">
        <v>0</v>
      </c>
      <c r="S48" s="22">
        <v>0</v>
      </c>
      <c r="T48" s="22">
        <v>0</v>
      </c>
      <c r="U48" s="22">
        <v>0</v>
      </c>
      <c r="V48" s="22">
        <v>1490</v>
      </c>
    </row>
    <row r="49" spans="1:22" ht="24" customHeight="1">
      <c r="A49" s="168"/>
      <c r="B49" s="183" t="s">
        <v>129</v>
      </c>
      <c r="C49" s="183"/>
      <c r="D49" s="183"/>
      <c r="E49" s="183"/>
      <c r="F49" s="23">
        <v>14169.89</v>
      </c>
      <c r="G49" s="23">
        <v>9340</v>
      </c>
      <c r="H49" s="23">
        <v>2533</v>
      </c>
      <c r="I49" s="23">
        <v>1039.0440000000001</v>
      </c>
      <c r="J49" s="23">
        <v>660</v>
      </c>
      <c r="K49" s="23">
        <v>1236</v>
      </c>
      <c r="L49" s="23">
        <v>4930</v>
      </c>
      <c r="M49" s="23">
        <v>970</v>
      </c>
      <c r="N49" s="23">
        <v>7191.2785450094107</v>
      </c>
      <c r="O49" s="23">
        <v>14092</v>
      </c>
      <c r="P49" s="23">
        <v>2895</v>
      </c>
      <c r="Q49" s="23">
        <v>907</v>
      </c>
      <c r="R49" s="23">
        <v>3417</v>
      </c>
      <c r="S49" s="23">
        <v>1246</v>
      </c>
      <c r="T49" s="23">
        <v>2324</v>
      </c>
      <c r="U49" s="23">
        <v>1989</v>
      </c>
      <c r="V49" s="23">
        <v>68939.212545009417</v>
      </c>
    </row>
    <row r="50" spans="1:22">
      <c r="A50" s="168"/>
      <c r="B50" s="12"/>
      <c r="C50" s="12" t="s">
        <v>21</v>
      </c>
      <c r="D50" s="12"/>
      <c r="E50" s="12"/>
      <c r="F50" s="21">
        <v>2752.25</v>
      </c>
      <c r="G50" s="21">
        <v>1896</v>
      </c>
      <c r="H50" s="21">
        <v>679</v>
      </c>
      <c r="I50" s="21">
        <v>0</v>
      </c>
      <c r="J50" s="21">
        <v>191</v>
      </c>
      <c r="K50" s="21">
        <v>599</v>
      </c>
      <c r="L50" s="21">
        <v>644</v>
      </c>
      <c r="M50" s="21">
        <v>90</v>
      </c>
      <c r="N50" s="21">
        <v>1613.6021920525616</v>
      </c>
      <c r="O50" s="21">
        <v>2037</v>
      </c>
      <c r="P50" s="21">
        <v>485</v>
      </c>
      <c r="Q50" s="21">
        <v>218</v>
      </c>
      <c r="R50" s="21">
        <v>396</v>
      </c>
      <c r="S50" s="21">
        <v>272</v>
      </c>
      <c r="T50" s="21">
        <v>612</v>
      </c>
      <c r="U50" s="21">
        <v>256</v>
      </c>
      <c r="V50" s="21">
        <v>12740.852192052562</v>
      </c>
    </row>
    <row r="51" spans="1:22">
      <c r="A51" s="168"/>
      <c r="B51" s="12"/>
      <c r="C51" s="12"/>
      <c r="D51" s="12" t="s">
        <v>23</v>
      </c>
      <c r="E51" s="12"/>
      <c r="F51" s="21">
        <v>2703.46</v>
      </c>
      <c r="G51" s="21">
        <v>1498</v>
      </c>
      <c r="H51" s="21">
        <v>679</v>
      </c>
      <c r="I51" s="21">
        <v>0</v>
      </c>
      <c r="J51" s="21">
        <v>191</v>
      </c>
      <c r="K51" s="21">
        <v>599</v>
      </c>
      <c r="L51" s="21">
        <v>644</v>
      </c>
      <c r="M51" s="21">
        <v>90</v>
      </c>
      <c r="N51" s="21">
        <v>1613.6021920525616</v>
      </c>
      <c r="O51" s="21">
        <v>2037</v>
      </c>
      <c r="P51" s="21">
        <v>485</v>
      </c>
      <c r="Q51" s="21">
        <v>218</v>
      </c>
      <c r="R51" s="21">
        <v>334</v>
      </c>
      <c r="S51" s="21">
        <v>272</v>
      </c>
      <c r="T51" s="21">
        <v>591</v>
      </c>
      <c r="U51" s="21">
        <v>256</v>
      </c>
      <c r="V51" s="21">
        <v>12211.062192052563</v>
      </c>
    </row>
    <row r="52" spans="1:22">
      <c r="A52" s="168"/>
      <c r="B52" s="12"/>
      <c r="C52" s="12"/>
      <c r="D52" s="12" t="s">
        <v>24</v>
      </c>
      <c r="E52" s="12"/>
      <c r="F52" s="21">
        <v>48.79</v>
      </c>
      <c r="G52" s="21">
        <v>398</v>
      </c>
      <c r="H52" s="21">
        <v>0</v>
      </c>
      <c r="I52" s="21">
        <v>0</v>
      </c>
      <c r="J52" s="21">
        <v>0</v>
      </c>
      <c r="K52" s="21">
        <v>0</v>
      </c>
      <c r="L52" s="21">
        <v>0</v>
      </c>
      <c r="M52" s="21">
        <v>0</v>
      </c>
      <c r="N52" s="21">
        <v>0</v>
      </c>
      <c r="O52" s="21">
        <v>0</v>
      </c>
      <c r="P52" s="21">
        <v>0</v>
      </c>
      <c r="Q52" s="21">
        <v>0</v>
      </c>
      <c r="R52" s="21">
        <v>62</v>
      </c>
      <c r="S52" s="21">
        <v>0</v>
      </c>
      <c r="T52" s="21">
        <v>21</v>
      </c>
      <c r="U52" s="21">
        <v>0</v>
      </c>
      <c r="V52" s="21">
        <v>529.79</v>
      </c>
    </row>
    <row r="53" spans="1:22">
      <c r="A53" s="168"/>
      <c r="B53" s="12"/>
      <c r="C53" s="12" t="s">
        <v>25</v>
      </c>
      <c r="D53" s="12"/>
      <c r="E53" s="12"/>
      <c r="F53" s="21">
        <v>1.49</v>
      </c>
      <c r="G53" s="21">
        <v>0</v>
      </c>
      <c r="H53" s="21">
        <v>0</v>
      </c>
      <c r="I53" s="21">
        <v>0</v>
      </c>
      <c r="J53" s="21">
        <v>0</v>
      </c>
      <c r="K53" s="21">
        <v>0</v>
      </c>
      <c r="L53" s="21">
        <v>0</v>
      </c>
      <c r="M53" s="21">
        <v>0</v>
      </c>
      <c r="N53" s="21">
        <v>0</v>
      </c>
      <c r="O53" s="21">
        <v>0</v>
      </c>
      <c r="P53" s="21">
        <v>0</v>
      </c>
      <c r="Q53" s="21">
        <v>0</v>
      </c>
      <c r="R53" s="21">
        <v>0</v>
      </c>
      <c r="S53" s="21">
        <v>0</v>
      </c>
      <c r="T53" s="21">
        <v>0</v>
      </c>
      <c r="U53" s="21">
        <v>0</v>
      </c>
      <c r="V53" s="21">
        <v>1.49</v>
      </c>
    </row>
    <row r="54" spans="1:22">
      <c r="A54" s="168"/>
      <c r="B54" s="12"/>
      <c r="C54" s="12" t="s">
        <v>26</v>
      </c>
      <c r="D54" s="12"/>
      <c r="E54" s="12"/>
      <c r="F54" s="21">
        <v>5717.06</v>
      </c>
      <c r="G54" s="21">
        <v>1781</v>
      </c>
      <c r="H54" s="21">
        <v>968</v>
      </c>
      <c r="I54" s="21">
        <v>309.49099999999999</v>
      </c>
      <c r="J54" s="21">
        <v>239</v>
      </c>
      <c r="K54" s="21">
        <v>368</v>
      </c>
      <c r="L54" s="21">
        <v>1538</v>
      </c>
      <c r="M54" s="21">
        <v>599</v>
      </c>
      <c r="N54" s="21">
        <v>2883.0416539734474</v>
      </c>
      <c r="O54" s="21">
        <v>7526</v>
      </c>
      <c r="P54" s="21">
        <v>1332</v>
      </c>
      <c r="Q54" s="21">
        <v>292</v>
      </c>
      <c r="R54" s="21">
        <v>1462</v>
      </c>
      <c r="S54" s="21">
        <v>476</v>
      </c>
      <c r="T54" s="21">
        <v>803</v>
      </c>
      <c r="U54" s="21">
        <v>1016</v>
      </c>
      <c r="V54" s="21">
        <v>27309.59265397345</v>
      </c>
    </row>
    <row r="55" spans="1:22">
      <c r="A55" s="168"/>
      <c r="B55" s="12"/>
      <c r="C55" s="12" t="s">
        <v>27</v>
      </c>
      <c r="D55" s="12"/>
      <c r="E55" s="12"/>
      <c r="F55" s="21">
        <v>64.55</v>
      </c>
      <c r="G55" s="21">
        <v>553</v>
      </c>
      <c r="H55" s="21">
        <v>35</v>
      </c>
      <c r="I55" s="21">
        <v>0</v>
      </c>
      <c r="J55" s="21">
        <v>6</v>
      </c>
      <c r="K55" s="21">
        <v>13</v>
      </c>
      <c r="L55" s="21">
        <v>0</v>
      </c>
      <c r="M55" s="21">
        <v>0</v>
      </c>
      <c r="N55" s="21">
        <v>1.3604474958338517</v>
      </c>
      <c r="O55" s="21">
        <v>0</v>
      </c>
      <c r="P55" s="21">
        <v>57</v>
      </c>
      <c r="Q55" s="21">
        <v>0</v>
      </c>
      <c r="R55" s="21">
        <v>0</v>
      </c>
      <c r="S55" s="21">
        <v>0</v>
      </c>
      <c r="T55" s="21">
        <v>33</v>
      </c>
      <c r="U55" s="21">
        <v>0</v>
      </c>
      <c r="V55" s="21">
        <v>762.91044749583375</v>
      </c>
    </row>
    <row r="56" spans="1:22">
      <c r="A56" s="168"/>
      <c r="B56" s="12"/>
      <c r="C56" s="12" t="s">
        <v>28</v>
      </c>
      <c r="D56" s="12"/>
      <c r="E56" s="12"/>
      <c r="F56" s="21">
        <v>4826.09</v>
      </c>
      <c r="G56" s="21">
        <v>0</v>
      </c>
      <c r="H56" s="21">
        <v>390</v>
      </c>
      <c r="I56" s="21">
        <v>370.928</v>
      </c>
      <c r="J56" s="21">
        <v>93</v>
      </c>
      <c r="K56" s="21">
        <v>79</v>
      </c>
      <c r="L56" s="21">
        <v>1301</v>
      </c>
      <c r="M56" s="21">
        <v>184</v>
      </c>
      <c r="N56" s="21">
        <v>1440.229066069973</v>
      </c>
      <c r="O56" s="21">
        <v>2660</v>
      </c>
      <c r="P56" s="21">
        <v>653</v>
      </c>
      <c r="Q56" s="21">
        <v>131</v>
      </c>
      <c r="R56" s="21">
        <v>690</v>
      </c>
      <c r="S56" s="21">
        <v>171</v>
      </c>
      <c r="T56" s="21">
        <v>551</v>
      </c>
      <c r="U56" s="21">
        <v>325</v>
      </c>
      <c r="V56" s="21">
        <v>13865.247066069973</v>
      </c>
    </row>
    <row r="57" spans="1:22">
      <c r="A57" s="168"/>
      <c r="B57" s="12"/>
      <c r="C57" s="12" t="s">
        <v>29</v>
      </c>
      <c r="D57" s="12"/>
      <c r="E57" s="12"/>
      <c r="F57" s="21">
        <v>0</v>
      </c>
      <c r="G57" s="21">
        <v>2398</v>
      </c>
      <c r="H57" s="21">
        <v>201</v>
      </c>
      <c r="I57" s="21">
        <v>153.85499999999999</v>
      </c>
      <c r="J57" s="21">
        <v>55</v>
      </c>
      <c r="K57" s="21">
        <v>21</v>
      </c>
      <c r="L57" s="21">
        <v>919</v>
      </c>
      <c r="M57" s="21">
        <v>1</v>
      </c>
      <c r="N57" s="21">
        <v>513.87830093081527</v>
      </c>
      <c r="O57" s="21">
        <v>356</v>
      </c>
      <c r="P57" s="21">
        <v>107</v>
      </c>
      <c r="Q57" s="21">
        <v>185</v>
      </c>
      <c r="R57" s="21">
        <v>362</v>
      </c>
      <c r="S57" s="21">
        <v>138</v>
      </c>
      <c r="T57" s="21">
        <v>22</v>
      </c>
      <c r="U57" s="21">
        <v>126</v>
      </c>
      <c r="V57" s="21">
        <v>5558.7333009308149</v>
      </c>
    </row>
    <row r="58" spans="1:22">
      <c r="A58" s="168"/>
      <c r="B58" s="12"/>
      <c r="C58" s="12" t="s">
        <v>30</v>
      </c>
      <c r="D58" s="12"/>
      <c r="E58" s="12"/>
      <c r="F58" s="21">
        <v>808.45</v>
      </c>
      <c r="G58" s="21">
        <v>1265</v>
      </c>
      <c r="H58" s="21">
        <v>260</v>
      </c>
      <c r="I58" s="21">
        <v>204.77</v>
      </c>
      <c r="J58" s="21">
        <v>76</v>
      </c>
      <c r="K58" s="21">
        <v>156</v>
      </c>
      <c r="L58" s="21">
        <v>528</v>
      </c>
      <c r="M58" s="21">
        <v>96</v>
      </c>
      <c r="N58" s="21">
        <v>739.16688448678008</v>
      </c>
      <c r="O58" s="21">
        <v>1513</v>
      </c>
      <c r="P58" s="21">
        <v>261</v>
      </c>
      <c r="Q58" s="21">
        <v>81</v>
      </c>
      <c r="R58" s="21">
        <v>507</v>
      </c>
      <c r="S58" s="21">
        <v>189</v>
      </c>
      <c r="T58" s="21">
        <v>303</v>
      </c>
      <c r="U58" s="21">
        <v>266</v>
      </c>
      <c r="V58" s="21">
        <v>7253.3868844867802</v>
      </c>
    </row>
    <row r="59" spans="1:22">
      <c r="A59" s="168"/>
      <c r="B59" s="13"/>
      <c r="C59" s="13" t="s">
        <v>31</v>
      </c>
      <c r="D59" s="13"/>
      <c r="E59" s="13"/>
      <c r="F59" s="22">
        <v>0</v>
      </c>
      <c r="G59" s="22">
        <v>1447</v>
      </c>
      <c r="H59" s="22">
        <v>0</v>
      </c>
      <c r="I59" s="22">
        <v>0</v>
      </c>
      <c r="J59" s="22">
        <v>0</v>
      </c>
      <c r="K59" s="22">
        <v>0</v>
      </c>
      <c r="L59" s="22">
        <v>0</v>
      </c>
      <c r="M59" s="22">
        <v>0</v>
      </c>
      <c r="N59" s="22">
        <v>0</v>
      </c>
      <c r="O59" s="22">
        <v>0</v>
      </c>
      <c r="P59" s="22">
        <v>0</v>
      </c>
      <c r="Q59" s="22">
        <v>0</v>
      </c>
      <c r="R59" s="22">
        <v>0</v>
      </c>
      <c r="S59" s="22">
        <v>0</v>
      </c>
      <c r="T59" s="22">
        <v>0</v>
      </c>
      <c r="U59" s="22">
        <v>0</v>
      </c>
      <c r="V59" s="22">
        <v>1447</v>
      </c>
    </row>
    <row r="60" spans="1:22" ht="27" customHeight="1">
      <c r="A60" s="168"/>
      <c r="B60" s="183" t="s">
        <v>130</v>
      </c>
      <c r="C60" s="183"/>
      <c r="D60" s="183"/>
      <c r="E60" s="183"/>
      <c r="F60" s="23">
        <v>7509.51</v>
      </c>
      <c r="G60" s="23">
        <v>8166</v>
      </c>
      <c r="H60" s="23">
        <v>1699</v>
      </c>
      <c r="I60" s="23">
        <v>1089.1220000000001</v>
      </c>
      <c r="J60" s="23">
        <v>585</v>
      </c>
      <c r="K60" s="23">
        <v>1145</v>
      </c>
      <c r="L60" s="23">
        <v>3228</v>
      </c>
      <c r="M60" s="23">
        <v>605</v>
      </c>
      <c r="N60" s="23">
        <v>4419.0314549903742</v>
      </c>
      <c r="O60" s="23">
        <v>9596</v>
      </c>
      <c r="P60" s="23">
        <v>1964</v>
      </c>
      <c r="Q60" s="23">
        <v>519</v>
      </c>
      <c r="R60" s="23">
        <v>1970</v>
      </c>
      <c r="S60" s="23">
        <v>788</v>
      </c>
      <c r="T60" s="23">
        <v>1775</v>
      </c>
      <c r="U60" s="23">
        <v>1034</v>
      </c>
      <c r="V60" s="23">
        <v>46091.663454990376</v>
      </c>
    </row>
    <row r="61" spans="1:22">
      <c r="A61" s="168"/>
      <c r="B61" s="12"/>
      <c r="C61" s="12" t="s">
        <v>21</v>
      </c>
      <c r="D61" s="12"/>
      <c r="E61" s="12"/>
      <c r="F61" s="21">
        <v>5395.8</v>
      </c>
      <c r="G61" s="21">
        <v>6618</v>
      </c>
      <c r="H61" s="21">
        <v>1346</v>
      </c>
      <c r="I61" s="21">
        <v>964.29100000000005</v>
      </c>
      <c r="J61" s="21">
        <v>554</v>
      </c>
      <c r="K61" s="21">
        <v>1077</v>
      </c>
      <c r="L61" s="21">
        <v>3061</v>
      </c>
      <c r="M61" s="21">
        <v>589</v>
      </c>
      <c r="N61" s="21">
        <v>3984.35033061986</v>
      </c>
      <c r="O61" s="21">
        <v>8353</v>
      </c>
      <c r="P61" s="21">
        <v>1700</v>
      </c>
      <c r="Q61" s="21">
        <v>491</v>
      </c>
      <c r="R61" s="21">
        <v>1821</v>
      </c>
      <c r="S61" s="21">
        <v>733</v>
      </c>
      <c r="T61" s="21">
        <v>1721</v>
      </c>
      <c r="U61" s="21">
        <v>990</v>
      </c>
      <c r="V61" s="21">
        <v>39398.441330619862</v>
      </c>
    </row>
    <row r="62" spans="1:22">
      <c r="A62" s="168"/>
      <c r="B62" s="12"/>
      <c r="C62" s="12"/>
      <c r="D62" s="12" t="s">
        <v>22</v>
      </c>
      <c r="E62" s="12"/>
      <c r="F62" s="21">
        <v>5395.8</v>
      </c>
      <c r="G62" s="21">
        <v>6618</v>
      </c>
      <c r="H62" s="21">
        <v>1305</v>
      </c>
      <c r="I62" s="21">
        <v>964.29100000000005</v>
      </c>
      <c r="J62" s="21">
        <v>521</v>
      </c>
      <c r="K62" s="21">
        <v>1049</v>
      </c>
      <c r="L62" s="21">
        <v>3061</v>
      </c>
      <c r="M62" s="21">
        <v>545</v>
      </c>
      <c r="N62" s="21">
        <v>3969.584454688084</v>
      </c>
      <c r="O62" s="21">
        <v>8353</v>
      </c>
      <c r="P62" s="21">
        <v>1700</v>
      </c>
      <c r="Q62" s="21">
        <v>491</v>
      </c>
      <c r="R62" s="21">
        <v>1792</v>
      </c>
      <c r="S62" s="21">
        <v>733</v>
      </c>
      <c r="T62" s="21">
        <v>1678</v>
      </c>
      <c r="U62" s="21">
        <v>990</v>
      </c>
      <c r="V62" s="21">
        <v>39165.675454688084</v>
      </c>
    </row>
    <row r="63" spans="1:22">
      <c r="A63" s="168"/>
      <c r="B63" s="12"/>
      <c r="C63" s="12"/>
      <c r="D63" s="12" t="s">
        <v>23</v>
      </c>
      <c r="E63" s="12"/>
      <c r="F63" s="21">
        <v>0</v>
      </c>
      <c r="G63" s="21">
        <v>0</v>
      </c>
      <c r="H63" s="21">
        <v>41</v>
      </c>
      <c r="I63" s="21">
        <v>0</v>
      </c>
      <c r="J63" s="21">
        <v>33</v>
      </c>
      <c r="K63" s="21">
        <v>28</v>
      </c>
      <c r="L63" s="21">
        <v>0</v>
      </c>
      <c r="M63" s="21">
        <v>44</v>
      </c>
      <c r="N63" s="21">
        <v>14.765875931775922</v>
      </c>
      <c r="O63" s="21">
        <v>0</v>
      </c>
      <c r="P63" s="21">
        <v>0</v>
      </c>
      <c r="Q63" s="21">
        <v>0</v>
      </c>
      <c r="R63" s="21">
        <v>29</v>
      </c>
      <c r="S63" s="21">
        <v>0</v>
      </c>
      <c r="T63" s="21">
        <v>43</v>
      </c>
      <c r="U63" s="21">
        <v>0</v>
      </c>
      <c r="V63" s="21">
        <v>232.76587593177592</v>
      </c>
    </row>
    <row r="64" spans="1:22">
      <c r="A64" s="168"/>
      <c r="B64" s="12"/>
      <c r="C64" s="12" t="s">
        <v>25</v>
      </c>
      <c r="D64" s="12"/>
      <c r="E64" s="12"/>
      <c r="F64" s="21">
        <v>0</v>
      </c>
      <c r="G64" s="21">
        <v>0</v>
      </c>
      <c r="H64" s="21">
        <v>0</v>
      </c>
      <c r="I64" s="21">
        <v>0</v>
      </c>
      <c r="J64" s="21">
        <v>0</v>
      </c>
      <c r="K64" s="21">
        <v>0</v>
      </c>
      <c r="L64" s="21">
        <v>0</v>
      </c>
      <c r="M64" s="21">
        <v>0</v>
      </c>
      <c r="N64" s="21">
        <v>0</v>
      </c>
      <c r="O64" s="21">
        <v>0</v>
      </c>
      <c r="P64" s="21">
        <v>0</v>
      </c>
      <c r="Q64" s="21">
        <v>0</v>
      </c>
      <c r="R64" s="21">
        <v>0</v>
      </c>
      <c r="S64" s="21">
        <v>0</v>
      </c>
      <c r="T64" s="21">
        <v>0</v>
      </c>
      <c r="U64" s="21">
        <v>0</v>
      </c>
      <c r="V64" s="21">
        <v>0</v>
      </c>
    </row>
    <row r="65" spans="1:28">
      <c r="A65" s="168"/>
      <c r="B65" s="12"/>
      <c r="C65" s="12" t="s">
        <v>26</v>
      </c>
      <c r="D65" s="12"/>
      <c r="E65" s="12"/>
      <c r="F65" s="21">
        <v>1729.39</v>
      </c>
      <c r="G65" s="21">
        <v>45</v>
      </c>
      <c r="H65" s="21">
        <v>0</v>
      </c>
      <c r="I65" s="21">
        <v>0</v>
      </c>
      <c r="J65" s="21">
        <v>2</v>
      </c>
      <c r="K65" s="21">
        <v>5</v>
      </c>
      <c r="L65" s="21">
        <v>0</v>
      </c>
      <c r="M65" s="21">
        <v>3</v>
      </c>
      <c r="N65" s="21">
        <v>56.918869047363764</v>
      </c>
      <c r="O65" s="21">
        <v>0</v>
      </c>
      <c r="P65" s="21">
        <v>0</v>
      </c>
      <c r="Q65" s="21">
        <v>0</v>
      </c>
      <c r="R65" s="21">
        <v>48</v>
      </c>
      <c r="S65" s="21">
        <v>3</v>
      </c>
      <c r="T65" s="21">
        <v>0</v>
      </c>
      <c r="U65" s="21">
        <v>11</v>
      </c>
      <c r="V65" s="21">
        <v>1903.3088690473639</v>
      </c>
    </row>
    <row r="66" spans="1:28">
      <c r="A66" s="168"/>
      <c r="B66" s="12"/>
      <c r="C66" s="12" t="s">
        <v>27</v>
      </c>
      <c r="D66" s="12"/>
      <c r="E66" s="12"/>
      <c r="F66" s="21">
        <v>0</v>
      </c>
      <c r="G66" s="21">
        <v>1</v>
      </c>
      <c r="H66" s="21">
        <v>3</v>
      </c>
      <c r="I66" s="21">
        <v>0</v>
      </c>
      <c r="J66" s="21">
        <v>0</v>
      </c>
      <c r="K66" s="21">
        <v>0</v>
      </c>
      <c r="L66" s="21">
        <v>0</v>
      </c>
      <c r="M66" s="21">
        <v>0</v>
      </c>
      <c r="N66" s="21">
        <v>0</v>
      </c>
      <c r="O66" s="21">
        <v>0</v>
      </c>
      <c r="P66" s="21">
        <v>13</v>
      </c>
      <c r="Q66" s="21">
        <v>0</v>
      </c>
      <c r="R66" s="21">
        <v>0</v>
      </c>
      <c r="S66" s="21">
        <v>0</v>
      </c>
      <c r="T66" s="21">
        <v>0</v>
      </c>
      <c r="U66" s="21">
        <v>0</v>
      </c>
      <c r="V66" s="21">
        <v>17</v>
      </c>
    </row>
    <row r="67" spans="1:28">
      <c r="A67" s="168"/>
      <c r="B67" s="12"/>
      <c r="C67" s="12" t="s">
        <v>29</v>
      </c>
      <c r="D67" s="12"/>
      <c r="E67" s="12"/>
      <c r="F67" s="21">
        <v>0</v>
      </c>
      <c r="G67" s="21">
        <v>1386</v>
      </c>
      <c r="H67" s="21">
        <v>5</v>
      </c>
      <c r="I67" s="21">
        <v>0</v>
      </c>
      <c r="J67" s="21">
        <v>10</v>
      </c>
      <c r="K67" s="21">
        <v>0</v>
      </c>
      <c r="L67" s="21">
        <v>4</v>
      </c>
      <c r="M67" s="21">
        <v>0</v>
      </c>
      <c r="N67" s="21">
        <v>195.16245053472264</v>
      </c>
      <c r="O67" s="21">
        <v>417</v>
      </c>
      <c r="P67" s="21">
        <v>0</v>
      </c>
      <c r="Q67" s="21">
        <v>2</v>
      </c>
      <c r="R67" s="21">
        <v>0</v>
      </c>
      <c r="S67" s="21">
        <v>0</v>
      </c>
      <c r="T67" s="21">
        <v>1</v>
      </c>
      <c r="U67" s="21">
        <v>0</v>
      </c>
      <c r="V67" s="21">
        <v>2020.1624505347227</v>
      </c>
    </row>
    <row r="68" spans="1:28">
      <c r="A68" s="168"/>
      <c r="B68" s="12"/>
      <c r="C68" s="12" t="s">
        <v>30</v>
      </c>
      <c r="D68" s="12"/>
      <c r="E68" s="12"/>
      <c r="F68" s="21">
        <v>384.32</v>
      </c>
      <c r="G68" s="21">
        <v>73</v>
      </c>
      <c r="H68" s="21">
        <v>345</v>
      </c>
      <c r="I68" s="21">
        <v>124.831</v>
      </c>
      <c r="J68" s="21">
        <v>19</v>
      </c>
      <c r="K68" s="21">
        <v>63</v>
      </c>
      <c r="L68" s="21">
        <v>163</v>
      </c>
      <c r="M68" s="21">
        <v>13</v>
      </c>
      <c r="N68" s="21">
        <v>182.59980478842814</v>
      </c>
      <c r="O68" s="21">
        <v>826</v>
      </c>
      <c r="P68" s="21">
        <v>251</v>
      </c>
      <c r="Q68" s="21">
        <v>26</v>
      </c>
      <c r="R68" s="21">
        <v>101</v>
      </c>
      <c r="S68" s="21">
        <v>52</v>
      </c>
      <c r="T68" s="21">
        <v>53</v>
      </c>
      <c r="U68" s="21">
        <v>33</v>
      </c>
      <c r="V68" s="21">
        <v>2709.750804788428</v>
      </c>
    </row>
    <row r="69" spans="1:28">
      <c r="A69" s="168"/>
      <c r="B69" s="13"/>
      <c r="C69" s="13" t="s">
        <v>31</v>
      </c>
      <c r="D69" s="13"/>
      <c r="E69" s="13"/>
      <c r="F69" s="22">
        <v>0</v>
      </c>
      <c r="G69" s="22">
        <v>43</v>
      </c>
      <c r="H69" s="22">
        <v>0</v>
      </c>
      <c r="I69" s="22">
        <v>0</v>
      </c>
      <c r="J69" s="22">
        <v>0</v>
      </c>
      <c r="K69" s="22">
        <v>0</v>
      </c>
      <c r="L69" s="22">
        <v>0</v>
      </c>
      <c r="M69" s="22">
        <v>0</v>
      </c>
      <c r="N69" s="22">
        <v>0</v>
      </c>
      <c r="O69" s="22">
        <v>0</v>
      </c>
      <c r="P69" s="22">
        <v>0</v>
      </c>
      <c r="Q69" s="22">
        <v>0</v>
      </c>
      <c r="R69" s="22">
        <v>0</v>
      </c>
      <c r="S69" s="22">
        <v>0</v>
      </c>
      <c r="T69" s="22">
        <v>0</v>
      </c>
      <c r="U69" s="22">
        <v>0</v>
      </c>
      <c r="V69" s="22">
        <v>43</v>
      </c>
    </row>
    <row r="70" spans="1:28">
      <c r="A70" s="168"/>
      <c r="B70" s="171" t="s">
        <v>33</v>
      </c>
      <c r="C70" s="171"/>
      <c r="D70" s="171"/>
      <c r="E70" s="185" t="s">
        <v>179</v>
      </c>
      <c r="F70" s="185"/>
      <c r="G70" s="185"/>
      <c r="H70" s="185"/>
      <c r="I70" s="185"/>
      <c r="J70" s="185"/>
      <c r="K70" s="185"/>
      <c r="L70" s="185"/>
      <c r="M70" s="185"/>
      <c r="N70" s="185"/>
      <c r="O70" s="185"/>
      <c r="P70" s="185"/>
      <c r="Q70" s="185"/>
      <c r="R70" s="185"/>
      <c r="S70" s="185"/>
      <c r="T70" s="185"/>
      <c r="U70" s="185"/>
      <c r="V70" s="185"/>
    </row>
    <row r="71" spans="1:28">
      <c r="A71" s="168"/>
      <c r="B71" s="140"/>
      <c r="C71" s="140"/>
      <c r="D71" s="140"/>
      <c r="E71" s="167" t="s">
        <v>200</v>
      </c>
      <c r="F71" s="167"/>
      <c r="G71" s="167"/>
      <c r="H71" s="167"/>
      <c r="I71" s="167"/>
      <c r="J71" s="167"/>
      <c r="K71" s="167"/>
      <c r="L71" s="167"/>
      <c r="M71" s="167"/>
      <c r="N71" s="167"/>
      <c r="O71" s="167"/>
      <c r="P71" s="167"/>
      <c r="Q71" s="167"/>
      <c r="R71" s="167"/>
      <c r="S71" s="167"/>
      <c r="T71" s="167"/>
      <c r="U71" s="167"/>
      <c r="V71" s="167"/>
      <c r="W71" s="157"/>
      <c r="X71" s="157"/>
      <c r="Y71" s="157"/>
      <c r="Z71" s="157"/>
      <c r="AA71" s="157"/>
      <c r="AB71" s="157"/>
    </row>
    <row r="72" spans="1:28">
      <c r="A72" s="168"/>
      <c r="E72" s="180"/>
      <c r="F72" s="180"/>
      <c r="G72" s="180"/>
      <c r="H72" s="180"/>
      <c r="I72" s="180"/>
      <c r="J72" s="180"/>
      <c r="K72" s="180"/>
      <c r="L72" s="180"/>
      <c r="M72" s="180"/>
      <c r="N72" s="180"/>
      <c r="O72" s="180"/>
      <c r="P72" s="180"/>
      <c r="Q72" s="180"/>
      <c r="R72" s="180"/>
      <c r="S72" s="180"/>
      <c r="T72" s="180"/>
      <c r="U72" s="180"/>
      <c r="V72" s="180"/>
    </row>
    <row r="73" spans="1:28" ht="13.5">
      <c r="E73" s="180"/>
      <c r="F73" s="180"/>
      <c r="G73" s="180"/>
      <c r="H73" s="180"/>
      <c r="I73" s="180"/>
      <c r="J73" s="180"/>
      <c r="K73" s="181"/>
      <c r="L73" s="181"/>
      <c r="M73" s="181"/>
      <c r="N73" s="181"/>
    </row>
  </sheetData>
  <mergeCells count="12">
    <mergeCell ref="E73:N73"/>
    <mergeCell ref="A1:A36"/>
    <mergeCell ref="A37:A72"/>
    <mergeCell ref="B70:D70"/>
    <mergeCell ref="B1:E1"/>
    <mergeCell ref="B5:E5"/>
    <mergeCell ref="B30:E30"/>
    <mergeCell ref="B49:E49"/>
    <mergeCell ref="B60:E60"/>
    <mergeCell ref="E72:V72"/>
    <mergeCell ref="E70:V70"/>
    <mergeCell ref="E71:V71"/>
  </mergeCells>
  <hyperlinks>
    <hyperlink ref="E71:V71" location="Leer!Druckbereich" display="Ab 2024 gelten für die Schularten des Sek-I-Bereichs neue Bezeichnungen bzw. Zusätze. Zudem kommt es bei den Hauptschulen, Schularten mit zwei Bildungsgängen und Schularten mit drei Bildungsgängen zu Neuzuordnungen." xr:uid="{F915AC65-5D03-4A73-8FFD-67ABD0005639}"/>
  </hyperlinks>
  <printOptions verticalCentered="1"/>
  <pageMargins left="0.23622047244094491" right="0.23622047244094491" top="0.74803149606299213" bottom="0.74803149606299213" header="0.31496062992125984" footer="0.31496062992125984"/>
  <pageSetup paperSize="9" orientation="landscape" r:id="rId1"/>
  <rowBreaks count="1" manualBreakCount="1">
    <brk id="3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3"/>
  <dimension ref="A1:AB73"/>
  <sheetViews>
    <sheetView view="pageBreakPreview" zoomScale="140" zoomScaleNormal="100" zoomScaleSheetLayoutView="140" workbookViewId="0">
      <selection activeCell="J27" sqref="J27"/>
    </sheetView>
  </sheetViews>
  <sheetFormatPr baseColWidth="10" defaultRowHeight="12.75"/>
  <cols>
    <col min="1" max="1" width="2.7109375" customWidth="1"/>
    <col min="2" max="2" width="3.7109375" customWidth="1"/>
    <col min="3" max="4" width="2.7109375" customWidth="1"/>
    <col min="5" max="5" width="27.28515625" customWidth="1"/>
    <col min="6" max="18" width="9.7109375" hidden="1" customWidth="1"/>
    <col min="19" max="28" width="9.7109375" customWidth="1"/>
  </cols>
  <sheetData>
    <row r="1" spans="1:28" ht="13.5">
      <c r="A1" s="168">
        <v>65</v>
      </c>
      <c r="B1" s="169" t="s">
        <v>0</v>
      </c>
      <c r="C1" s="169"/>
      <c r="D1" s="169"/>
      <c r="E1" s="169"/>
    </row>
    <row r="2" spans="1:28" ht="13.5">
      <c r="A2" s="168"/>
      <c r="B2" s="4" t="s">
        <v>59</v>
      </c>
      <c r="C2" s="4"/>
      <c r="D2" s="4" t="s">
        <v>60</v>
      </c>
      <c r="E2" s="4"/>
    </row>
    <row r="3" spans="1:28" ht="13.5">
      <c r="A3" s="168"/>
      <c r="B3" s="5" t="s">
        <v>62</v>
      </c>
      <c r="C3" s="4"/>
      <c r="D3" s="4" t="s">
        <v>185</v>
      </c>
      <c r="E3" s="4"/>
    </row>
    <row r="4" spans="1:28" ht="12.75" customHeight="1">
      <c r="A4" s="168"/>
    </row>
    <row r="5" spans="1:28" s="6" customFormat="1" ht="30.75" customHeight="1">
      <c r="A5" s="168"/>
      <c r="B5" s="170" t="s">
        <v>126</v>
      </c>
      <c r="C5" s="170"/>
      <c r="D5" s="170"/>
      <c r="E5" s="170"/>
      <c r="F5" s="8">
        <v>2002</v>
      </c>
      <c r="G5" s="8">
        <v>2003</v>
      </c>
      <c r="H5" s="8">
        <v>2004</v>
      </c>
      <c r="I5" s="8">
        <v>2005</v>
      </c>
      <c r="J5" s="8">
        <v>2006</v>
      </c>
      <c r="K5" s="8">
        <v>2007</v>
      </c>
      <c r="L5" s="8">
        <v>2008</v>
      </c>
      <c r="M5" s="8">
        <v>2009</v>
      </c>
      <c r="N5" s="8">
        <v>2010</v>
      </c>
      <c r="O5" s="8">
        <v>2011</v>
      </c>
      <c r="P5" s="8">
        <v>2012</v>
      </c>
      <c r="Q5" s="8">
        <v>2013</v>
      </c>
      <c r="R5" s="8">
        <v>2014</v>
      </c>
      <c r="S5" s="8">
        <v>2015</v>
      </c>
      <c r="T5" s="8">
        <v>2016</v>
      </c>
      <c r="U5" s="8">
        <v>2017</v>
      </c>
      <c r="V5" s="8">
        <v>2018</v>
      </c>
      <c r="W5" s="8">
        <v>2019</v>
      </c>
      <c r="X5" s="8">
        <v>2020</v>
      </c>
      <c r="Y5" s="8">
        <v>2021</v>
      </c>
      <c r="Z5" s="8">
        <v>2022</v>
      </c>
      <c r="AA5" s="8">
        <v>2023</v>
      </c>
      <c r="AB5" s="8">
        <v>2024</v>
      </c>
    </row>
    <row r="6" spans="1:28" ht="13.5">
      <c r="A6" s="168"/>
      <c r="B6" s="9" t="s">
        <v>120</v>
      </c>
      <c r="C6" s="9"/>
      <c r="D6" s="9"/>
      <c r="E6" s="16"/>
      <c r="F6" s="58">
        <v>16985389.050591491</v>
      </c>
      <c r="G6" s="58">
        <v>17083913</v>
      </c>
      <c r="H6" s="58">
        <v>17077339.300000001</v>
      </c>
      <c r="I6" s="58">
        <v>16950660.998113208</v>
      </c>
      <c r="J6" s="58">
        <v>16928915.689999998</v>
      </c>
      <c r="K6" s="58">
        <v>16816528.52</v>
      </c>
      <c r="L6" s="58">
        <v>16729477.310000002</v>
      </c>
      <c r="M6" s="58">
        <v>16777264.24250396</v>
      </c>
      <c r="N6" s="58">
        <v>16797351.676600002</v>
      </c>
      <c r="O6" s="58">
        <v>16737443.880000001</v>
      </c>
      <c r="P6" s="58">
        <v>16655775.279999999</v>
      </c>
      <c r="Q6" s="58">
        <v>16592758.66</v>
      </c>
      <c r="R6" s="58">
        <v>16581975.199999999</v>
      </c>
      <c r="S6" s="58">
        <v>16591112.75098405</v>
      </c>
      <c r="T6" s="58">
        <v>16646977.793855932</v>
      </c>
      <c r="U6" s="58">
        <v>16762924.099998271</v>
      </c>
      <c r="V6" s="58">
        <v>16805045.379397638</v>
      </c>
      <c r="W6" s="58">
        <v>16928117.268815771</v>
      </c>
      <c r="X6" s="58">
        <v>16940640.454999998</v>
      </c>
      <c r="Y6" s="58">
        <v>17011241.021320075</v>
      </c>
      <c r="Z6" s="58">
        <v>17247294.991670337</v>
      </c>
      <c r="AA6" s="58">
        <v>17601989.547336373</v>
      </c>
      <c r="AB6" s="58">
        <v>17804864.719000001</v>
      </c>
    </row>
    <row r="7" spans="1:28" ht="13.5">
      <c r="A7" s="168"/>
      <c r="B7" s="10" t="s">
        <v>119</v>
      </c>
      <c r="C7" s="10"/>
      <c r="D7" s="10"/>
      <c r="E7" s="9"/>
      <c r="F7" s="59">
        <v>14459347.050591493</v>
      </c>
      <c r="G7" s="59">
        <v>14488785</v>
      </c>
      <c r="H7" s="59">
        <v>14419951.300000001</v>
      </c>
      <c r="I7" s="59">
        <v>14268450.998113208</v>
      </c>
      <c r="J7" s="59">
        <v>14221179.689999999</v>
      </c>
      <c r="K7" s="59">
        <v>14114632.27</v>
      </c>
      <c r="L7" s="59">
        <v>14038518.670000002</v>
      </c>
      <c r="M7" s="59">
        <v>14101160.24250396</v>
      </c>
      <c r="N7" s="59">
        <v>14146527.912600001</v>
      </c>
      <c r="O7" s="59">
        <v>14118286.640000001</v>
      </c>
      <c r="P7" s="59">
        <v>14078761.279999999</v>
      </c>
      <c r="Q7" s="59">
        <v>14032246.66</v>
      </c>
      <c r="R7" s="59">
        <v>14031386.199999999</v>
      </c>
      <c r="S7" s="59">
        <v>14031622.787012503</v>
      </c>
      <c r="T7" s="59">
        <v>14045798.00010944</v>
      </c>
      <c r="U7" s="59">
        <v>14165628.867242718</v>
      </c>
      <c r="V7" s="59">
        <v>14236885.068467628</v>
      </c>
      <c r="W7" s="59">
        <v>14384707.507760117</v>
      </c>
      <c r="X7" s="59">
        <v>14424964.789999999</v>
      </c>
      <c r="Y7" s="59">
        <v>14531026.589321075</v>
      </c>
      <c r="Z7" s="59">
        <v>14787726.886</v>
      </c>
      <c r="AA7" s="59">
        <v>15134846.353636365</v>
      </c>
      <c r="AB7" s="59">
        <v>15352077.319999998</v>
      </c>
    </row>
    <row r="8" spans="1:28" ht="13.5">
      <c r="A8" s="168"/>
      <c r="B8" s="11" t="s">
        <v>3</v>
      </c>
      <c r="C8" s="11"/>
      <c r="D8" s="11"/>
      <c r="E8" s="11"/>
      <c r="F8" s="58">
        <v>1518373</v>
      </c>
      <c r="G8" s="58">
        <v>1544787</v>
      </c>
      <c r="H8" s="58">
        <v>1559316.3</v>
      </c>
      <c r="I8" s="58">
        <v>1560781.3</v>
      </c>
      <c r="J8" s="58">
        <v>1537325</v>
      </c>
      <c r="K8" s="58">
        <v>1527419</v>
      </c>
      <c r="L8" s="58">
        <v>1534434</v>
      </c>
      <c r="M8" s="58">
        <v>1520730</v>
      </c>
      <c r="N8" s="58">
        <v>1501844</v>
      </c>
      <c r="O8" s="58">
        <v>1477400.51</v>
      </c>
      <c r="P8" s="58">
        <v>1449883</v>
      </c>
      <c r="Q8" s="58">
        <v>1431576</v>
      </c>
      <c r="R8" s="58">
        <v>1408456.6099999999</v>
      </c>
      <c r="S8" s="58">
        <v>1356360.0770832244</v>
      </c>
      <c r="T8" s="58">
        <v>1329425.3601886793</v>
      </c>
      <c r="U8" s="58">
        <v>1343209.8062068967</v>
      </c>
      <c r="V8" s="58">
        <v>1352386.4199712947</v>
      </c>
      <c r="W8" s="58">
        <v>1370213.78</v>
      </c>
      <c r="X8" s="58">
        <v>1378924.04</v>
      </c>
      <c r="Y8" s="58">
        <v>1400864.3900000001</v>
      </c>
      <c r="Z8" s="58">
        <v>1443299.29</v>
      </c>
      <c r="AA8" s="58">
        <v>1483370.83</v>
      </c>
      <c r="AB8" s="58">
        <v>1507095.7999999998</v>
      </c>
    </row>
    <row r="9" spans="1:28" ht="13.5">
      <c r="A9" s="168"/>
      <c r="B9" s="12"/>
      <c r="C9" s="12" t="s">
        <v>4</v>
      </c>
      <c r="D9" s="12"/>
      <c r="E9" s="12"/>
      <c r="F9" s="56">
        <v>605256</v>
      </c>
      <c r="G9" s="56">
        <v>606582</v>
      </c>
      <c r="H9" s="56">
        <v>598691</v>
      </c>
      <c r="I9" s="56">
        <v>577921</v>
      </c>
      <c r="J9" s="56">
        <v>551538.84</v>
      </c>
      <c r="K9" s="56">
        <v>529065</v>
      </c>
      <c r="L9" s="56">
        <v>521750</v>
      </c>
      <c r="M9" s="56">
        <v>504680</v>
      </c>
      <c r="N9" s="56">
        <v>485061</v>
      </c>
      <c r="O9" s="56">
        <v>465947.94324020552</v>
      </c>
      <c r="P9" s="56">
        <v>428724</v>
      </c>
      <c r="Q9" s="56">
        <v>409188</v>
      </c>
      <c r="R9" s="56">
        <v>387914.01</v>
      </c>
      <c r="S9" s="56">
        <v>348929.76</v>
      </c>
      <c r="T9" s="56">
        <v>328226.65000000002</v>
      </c>
      <c r="U9" s="56">
        <v>295917.76037234045</v>
      </c>
      <c r="V9" s="56">
        <v>292760.77</v>
      </c>
      <c r="W9" s="56">
        <v>290624.06967799645</v>
      </c>
      <c r="X9" s="56">
        <v>362844.58371204697</v>
      </c>
      <c r="Y9" s="56">
        <v>368778.49675444013</v>
      </c>
      <c r="Z9" s="56">
        <v>366826.6123307934</v>
      </c>
      <c r="AA9" s="56">
        <v>375680.42124760081</v>
      </c>
      <c r="AB9" s="56">
        <v>371027.37968852103</v>
      </c>
    </row>
    <row r="10" spans="1:28" ht="13.5">
      <c r="A10" s="168"/>
      <c r="B10" s="13"/>
      <c r="C10" s="13" t="s">
        <v>5</v>
      </c>
      <c r="D10" s="13"/>
      <c r="E10" s="13"/>
      <c r="F10" s="56">
        <v>857844</v>
      </c>
      <c r="G10" s="56">
        <v>884979</v>
      </c>
      <c r="H10" s="56">
        <v>909400.3</v>
      </c>
      <c r="I10" s="56">
        <v>933296.3</v>
      </c>
      <c r="J10" s="56">
        <v>940177.16</v>
      </c>
      <c r="K10" s="56">
        <v>955872</v>
      </c>
      <c r="L10" s="56">
        <v>971718</v>
      </c>
      <c r="M10" s="56">
        <v>978607</v>
      </c>
      <c r="N10" s="56">
        <v>982610</v>
      </c>
      <c r="O10" s="56">
        <v>980267.56675979448</v>
      </c>
      <c r="P10" s="56">
        <v>991328</v>
      </c>
      <c r="Q10" s="56">
        <v>993891</v>
      </c>
      <c r="R10" s="56">
        <v>993036.6</v>
      </c>
      <c r="S10" s="56">
        <v>981104.31708322477</v>
      </c>
      <c r="T10" s="56">
        <v>975970.7101886794</v>
      </c>
      <c r="U10" s="56">
        <v>1023359.0458345562</v>
      </c>
      <c r="V10" s="56">
        <v>1036266.6499712946</v>
      </c>
      <c r="W10" s="56">
        <v>1056392.7103220036</v>
      </c>
      <c r="X10" s="56">
        <v>993403.45628795295</v>
      </c>
      <c r="Y10" s="56">
        <v>1010075.8932455601</v>
      </c>
      <c r="Z10" s="56">
        <v>1054657.6776692066</v>
      </c>
      <c r="AA10" s="56">
        <v>1086266.4087523993</v>
      </c>
      <c r="AB10" s="56">
        <v>1114785.4203114789</v>
      </c>
    </row>
    <row r="11" spans="1:28" ht="13.5" hidden="1">
      <c r="A11" s="168"/>
      <c r="B11" s="13"/>
      <c r="C11" s="13"/>
      <c r="D11" s="13"/>
      <c r="E11" s="13"/>
      <c r="F11" s="56"/>
      <c r="G11" s="56"/>
      <c r="H11" s="56"/>
      <c r="I11" s="56"/>
      <c r="J11" s="141" t="s">
        <v>116</v>
      </c>
      <c r="K11" s="141" t="s">
        <v>116</v>
      </c>
      <c r="L11" s="141" t="s">
        <v>116</v>
      </c>
      <c r="M11" s="141" t="s">
        <v>116</v>
      </c>
      <c r="N11" s="141" t="s">
        <v>116</v>
      </c>
      <c r="O11" s="141" t="s">
        <v>116</v>
      </c>
      <c r="P11" s="141" t="s">
        <v>116</v>
      </c>
      <c r="Q11" s="141" t="s">
        <v>116</v>
      </c>
      <c r="R11" s="141"/>
      <c r="S11" s="141"/>
      <c r="T11" s="141"/>
      <c r="U11" s="141"/>
      <c r="V11" s="141"/>
      <c r="W11" s="141"/>
      <c r="X11" s="141"/>
      <c r="Y11" s="141"/>
      <c r="Z11" s="141"/>
      <c r="AA11" s="141"/>
      <c r="AB11" s="63"/>
    </row>
    <row r="12" spans="1:28" ht="13.5">
      <c r="A12" s="168"/>
      <c r="B12" s="11" t="s">
        <v>6</v>
      </c>
      <c r="C12" s="11"/>
      <c r="D12" s="11"/>
      <c r="E12" s="11"/>
      <c r="F12" s="60">
        <v>120140</v>
      </c>
      <c r="G12" s="60">
        <v>118485</v>
      </c>
      <c r="H12" s="60">
        <v>108796</v>
      </c>
      <c r="I12" s="60">
        <v>78721.698113207545</v>
      </c>
      <c r="J12" s="60">
        <v>77857</v>
      </c>
      <c r="K12" s="60">
        <v>79934</v>
      </c>
      <c r="L12" s="60">
        <v>78304</v>
      </c>
      <c r="M12" s="60">
        <v>78204</v>
      </c>
      <c r="N12" s="60">
        <v>77985</v>
      </c>
      <c r="O12" s="60">
        <v>75119.516361306974</v>
      </c>
      <c r="P12" s="60">
        <v>77048</v>
      </c>
      <c r="Q12" s="60">
        <v>76626</v>
      </c>
      <c r="R12" s="60">
        <v>74096</v>
      </c>
      <c r="S12" s="60">
        <v>73997.097496706192</v>
      </c>
      <c r="T12" s="60">
        <v>75425.666666666657</v>
      </c>
      <c r="U12" s="60">
        <v>75986.19</v>
      </c>
      <c r="V12" s="60">
        <v>72572.84</v>
      </c>
      <c r="W12" s="60">
        <v>73949.454545454544</v>
      </c>
      <c r="X12" s="60">
        <v>72731.8</v>
      </c>
      <c r="Y12" s="60">
        <v>73489</v>
      </c>
      <c r="Z12" s="60">
        <v>74383</v>
      </c>
      <c r="AA12" s="60">
        <v>75780</v>
      </c>
      <c r="AB12" s="60">
        <v>74356</v>
      </c>
    </row>
    <row r="13" spans="1:28" ht="13.5">
      <c r="A13" s="168"/>
      <c r="B13" s="12"/>
      <c r="C13" s="12" t="s">
        <v>7</v>
      </c>
      <c r="D13" s="12"/>
      <c r="E13" s="12"/>
      <c r="F13" s="56">
        <v>27669</v>
      </c>
      <c r="G13" s="56">
        <v>26613</v>
      </c>
      <c r="H13" s="56">
        <v>25550</v>
      </c>
      <c r="I13" s="56">
        <v>10347.698113207547</v>
      </c>
      <c r="J13" s="56">
        <v>11013</v>
      </c>
      <c r="K13" s="56">
        <v>13741</v>
      </c>
      <c r="L13" s="56">
        <v>12811</v>
      </c>
      <c r="M13" s="56">
        <v>14282</v>
      </c>
      <c r="N13" s="56">
        <v>14508</v>
      </c>
      <c r="O13" s="56">
        <v>13931.516361306978</v>
      </c>
      <c r="P13" s="56">
        <v>16506</v>
      </c>
      <c r="Q13" s="56">
        <v>16234</v>
      </c>
      <c r="R13" s="56">
        <v>16222</v>
      </c>
      <c r="S13" s="56">
        <v>16547.097496706192</v>
      </c>
      <c r="T13" s="56">
        <v>17383.666666666664</v>
      </c>
      <c r="U13" s="56">
        <v>18356.190000000002</v>
      </c>
      <c r="V13" s="56">
        <v>14627.84</v>
      </c>
      <c r="W13" s="56">
        <v>15101.454545454546</v>
      </c>
      <c r="X13" s="56">
        <v>15381</v>
      </c>
      <c r="Y13" s="56">
        <v>16446</v>
      </c>
      <c r="Z13" s="56">
        <v>17259</v>
      </c>
      <c r="AA13" s="56">
        <v>18145</v>
      </c>
      <c r="AB13" s="56">
        <v>17526</v>
      </c>
    </row>
    <row r="14" spans="1:28" ht="13.5">
      <c r="A14" s="168"/>
      <c r="B14" s="13"/>
      <c r="C14" s="13" t="s">
        <v>8</v>
      </c>
      <c r="D14" s="13"/>
      <c r="E14" s="13"/>
      <c r="F14" s="56">
        <v>92471</v>
      </c>
      <c r="G14" s="56">
        <v>91872</v>
      </c>
      <c r="H14" s="56">
        <v>83246</v>
      </c>
      <c r="I14" s="56">
        <v>68374</v>
      </c>
      <c r="J14" s="56">
        <v>66844</v>
      </c>
      <c r="K14" s="56">
        <v>66193</v>
      </c>
      <c r="L14" s="56">
        <v>65493</v>
      </c>
      <c r="M14" s="56">
        <v>63922</v>
      </c>
      <c r="N14" s="56">
        <v>63477</v>
      </c>
      <c r="O14" s="56">
        <v>61188</v>
      </c>
      <c r="P14" s="56">
        <v>60542</v>
      </c>
      <c r="Q14" s="56">
        <v>60392</v>
      </c>
      <c r="R14" s="56">
        <v>57874</v>
      </c>
      <c r="S14" s="56">
        <v>57450</v>
      </c>
      <c r="T14" s="141">
        <v>58042</v>
      </c>
      <c r="U14" s="141">
        <v>57630</v>
      </c>
      <c r="V14" s="141">
        <v>57945</v>
      </c>
      <c r="W14" s="141">
        <v>58848</v>
      </c>
      <c r="X14" s="141">
        <v>57350.8</v>
      </c>
      <c r="Y14" s="141">
        <v>57043</v>
      </c>
      <c r="Z14" s="141">
        <v>57124</v>
      </c>
      <c r="AA14" s="141">
        <v>57635</v>
      </c>
      <c r="AB14" s="56">
        <v>56830</v>
      </c>
    </row>
    <row r="15" spans="1:28" ht="13.5">
      <c r="A15" s="168"/>
      <c r="B15" s="11" t="s">
        <v>123</v>
      </c>
      <c r="C15" s="11"/>
      <c r="D15" s="11"/>
      <c r="E15" s="11"/>
      <c r="F15" s="60">
        <v>3973935</v>
      </c>
      <c r="G15" s="60">
        <v>3989416</v>
      </c>
      <c r="H15" s="60">
        <v>4026607</v>
      </c>
      <c r="I15" s="60">
        <v>4090129</v>
      </c>
      <c r="J15" s="60">
        <v>4141552</v>
      </c>
      <c r="K15" s="60">
        <v>4115679</v>
      </c>
      <c r="L15" s="60">
        <v>4069771</v>
      </c>
      <c r="M15" s="60">
        <v>4056299</v>
      </c>
      <c r="N15" s="60">
        <v>4024630.5100000002</v>
      </c>
      <c r="O15" s="60">
        <v>4008143.6736386926</v>
      </c>
      <c r="P15" s="60">
        <v>4014850.45</v>
      </c>
      <c r="Q15" s="60">
        <v>4026709</v>
      </c>
      <c r="R15" s="60">
        <v>4077938.18</v>
      </c>
      <c r="S15" s="60">
        <v>4138885.5345980627</v>
      </c>
      <c r="T15" s="60">
        <v>4213664.3283438208</v>
      </c>
      <c r="U15" s="60">
        <v>4296273.6319798566</v>
      </c>
      <c r="V15" s="60">
        <v>4349854.0999470372</v>
      </c>
      <c r="W15" s="60">
        <v>4453867.7209780281</v>
      </c>
      <c r="X15" s="60">
        <v>4466076.0073620863</v>
      </c>
      <c r="Y15" s="60">
        <v>4526575.3160414035</v>
      </c>
      <c r="Z15" s="60">
        <v>4663003.4560000002</v>
      </c>
      <c r="AA15" s="60">
        <v>4845118.4899110366</v>
      </c>
      <c r="AB15" s="60">
        <v>4965928.7499999991</v>
      </c>
    </row>
    <row r="16" spans="1:28" ht="13.5">
      <c r="A16" s="168"/>
      <c r="B16" s="12"/>
      <c r="C16" s="12" t="s">
        <v>9</v>
      </c>
      <c r="D16" s="12"/>
      <c r="E16" s="12"/>
      <c r="F16" s="56">
        <v>3921238</v>
      </c>
      <c r="G16" s="56">
        <v>3934595</v>
      </c>
      <c r="H16" s="56">
        <v>3974244</v>
      </c>
      <c r="I16" s="56">
        <v>4043161</v>
      </c>
      <c r="J16" s="56">
        <v>4095212</v>
      </c>
      <c r="K16" s="56">
        <v>4066842</v>
      </c>
      <c r="L16" s="56">
        <v>4020023</v>
      </c>
      <c r="M16" s="56">
        <v>4004178</v>
      </c>
      <c r="N16" s="56">
        <v>3967493.45</v>
      </c>
      <c r="O16" s="56">
        <v>3947424.3736386928</v>
      </c>
      <c r="P16" s="56">
        <v>3943130</v>
      </c>
      <c r="Q16" s="56">
        <v>3934194</v>
      </c>
      <c r="R16" s="56">
        <v>3961279.99</v>
      </c>
      <c r="S16" s="56">
        <v>4001267.4345980627</v>
      </c>
      <c r="T16" s="56">
        <v>4064570.2783438209</v>
      </c>
      <c r="U16" s="56">
        <v>4137731.3119798559</v>
      </c>
      <c r="V16" s="56">
        <v>4189573.8499470372</v>
      </c>
      <c r="W16" s="56">
        <v>4299535.675458028</v>
      </c>
      <c r="X16" s="56">
        <v>4308387.7948118048</v>
      </c>
      <c r="Y16" s="56">
        <v>4366829.9106201585</v>
      </c>
      <c r="Z16" s="56">
        <v>4499658.7860000003</v>
      </c>
      <c r="AA16" s="56">
        <v>4677164.0600000005</v>
      </c>
      <c r="AB16" s="56">
        <v>4792235.3</v>
      </c>
    </row>
    <row r="17" spans="1:28" ht="13.5">
      <c r="A17" s="168"/>
      <c r="B17" s="12"/>
      <c r="C17" s="12" t="s">
        <v>187</v>
      </c>
      <c r="D17" s="12"/>
      <c r="E17" s="12"/>
      <c r="F17" s="56">
        <v>23805</v>
      </c>
      <c r="G17" s="56">
        <v>24759</v>
      </c>
      <c r="H17" s="56">
        <v>22845</v>
      </c>
      <c r="I17" s="56">
        <v>14487</v>
      </c>
      <c r="J17" s="56">
        <v>14485</v>
      </c>
      <c r="K17" s="56">
        <v>15846</v>
      </c>
      <c r="L17" s="56">
        <v>15666</v>
      </c>
      <c r="M17" s="56">
        <v>18802</v>
      </c>
      <c r="N17" s="56">
        <v>22710</v>
      </c>
      <c r="O17" s="56">
        <v>26988.75</v>
      </c>
      <c r="P17" s="56">
        <v>37051</v>
      </c>
      <c r="Q17" s="56">
        <v>57416</v>
      </c>
      <c r="R17" s="56">
        <v>81401.19</v>
      </c>
      <c r="S17" s="56">
        <v>100930.1</v>
      </c>
      <c r="T17" s="141">
        <v>110711.84999999999</v>
      </c>
      <c r="U17" s="141">
        <v>119076.96</v>
      </c>
      <c r="V17" s="141">
        <v>120024.19</v>
      </c>
      <c r="W17" s="141">
        <v>113928.95552</v>
      </c>
      <c r="X17" s="141">
        <v>116014.3</v>
      </c>
      <c r="Y17" s="141">
        <v>117167.67</v>
      </c>
      <c r="Z17" s="141">
        <v>120647.38</v>
      </c>
      <c r="AA17" s="141">
        <v>124894.48</v>
      </c>
      <c r="AB17" s="56">
        <v>129747.6</v>
      </c>
    </row>
    <row r="18" spans="1:28" ht="13.5">
      <c r="A18" s="168"/>
      <c r="B18" s="13"/>
      <c r="C18" s="13" t="s">
        <v>11</v>
      </c>
      <c r="D18" s="13"/>
      <c r="E18" s="13"/>
      <c r="F18" s="56">
        <v>28892</v>
      </c>
      <c r="G18" s="56">
        <v>30062</v>
      </c>
      <c r="H18" s="56">
        <v>29518</v>
      </c>
      <c r="I18" s="56">
        <v>32481</v>
      </c>
      <c r="J18" s="56">
        <v>31855</v>
      </c>
      <c r="K18" s="56">
        <v>32991</v>
      </c>
      <c r="L18" s="56">
        <v>34082</v>
      </c>
      <c r="M18" s="56">
        <v>33319</v>
      </c>
      <c r="N18" s="56">
        <v>34427.06</v>
      </c>
      <c r="O18" s="56">
        <v>33730.550000000003</v>
      </c>
      <c r="P18" s="56">
        <v>34669.449999999997</v>
      </c>
      <c r="Q18" s="56">
        <v>35099</v>
      </c>
      <c r="R18" s="56">
        <v>35257</v>
      </c>
      <c r="S18" s="56">
        <v>36688</v>
      </c>
      <c r="T18" s="56">
        <v>38382.199999999997</v>
      </c>
      <c r="U18" s="56">
        <v>39465.360000000001</v>
      </c>
      <c r="V18" s="56">
        <v>40256.06</v>
      </c>
      <c r="W18" s="56">
        <v>40403.090000000004</v>
      </c>
      <c r="X18" s="56">
        <v>41673.912550282024</v>
      </c>
      <c r="Y18" s="56">
        <v>42577.73542124543</v>
      </c>
      <c r="Z18" s="56">
        <v>42697.289999999994</v>
      </c>
      <c r="AA18" s="56">
        <v>43059.949911035634</v>
      </c>
      <c r="AB18" s="56">
        <v>43945.85</v>
      </c>
    </row>
    <row r="19" spans="1:28" ht="13.5">
      <c r="A19" s="168"/>
      <c r="B19" s="11" t="s">
        <v>124</v>
      </c>
      <c r="C19" s="11"/>
      <c r="D19" s="11"/>
      <c r="E19" s="11"/>
      <c r="F19" s="60">
        <v>7532837.4165795073</v>
      </c>
      <c r="G19" s="60">
        <v>7492643</v>
      </c>
      <c r="H19" s="60">
        <v>7351430</v>
      </c>
      <c r="I19" s="60">
        <v>7141529</v>
      </c>
      <c r="J19" s="60">
        <v>7029503</v>
      </c>
      <c r="K19" s="60">
        <v>6951669.3200000003</v>
      </c>
      <c r="L19" s="60">
        <v>6770445.0985015696</v>
      </c>
      <c r="M19" s="60">
        <v>6778584</v>
      </c>
      <c r="N19" s="60">
        <v>6767115.1716</v>
      </c>
      <c r="O19" s="60">
        <v>6806031.7800000003</v>
      </c>
      <c r="P19" s="60">
        <v>6770167.0199999996</v>
      </c>
      <c r="Q19" s="60">
        <v>6748802.6600000001</v>
      </c>
      <c r="R19" s="60">
        <v>6699385.8999999994</v>
      </c>
      <c r="S19" s="60">
        <v>6678232.2007402023</v>
      </c>
      <c r="T19" s="60">
        <v>6666778.4699606746</v>
      </c>
      <c r="U19" s="60">
        <v>6736247.4295514449</v>
      </c>
      <c r="V19" s="60">
        <v>6775074.1803098349</v>
      </c>
      <c r="W19" s="60">
        <v>6810980.6623765538</v>
      </c>
      <c r="X19" s="60">
        <v>6785610.3865963062</v>
      </c>
      <c r="Y19" s="60">
        <v>6792599.1648118999</v>
      </c>
      <c r="Z19" s="60">
        <v>6930932.0700000003</v>
      </c>
      <c r="AA19" s="60">
        <v>7147769.1936968714</v>
      </c>
      <c r="AB19" s="60">
        <v>7234074.6200000001</v>
      </c>
    </row>
    <row r="20" spans="1:28" ht="13.5">
      <c r="A20" s="168"/>
      <c r="B20" s="12"/>
      <c r="C20" s="12" t="s">
        <v>12</v>
      </c>
      <c r="D20" s="12"/>
      <c r="E20" s="12"/>
      <c r="F20" s="56">
        <v>513891</v>
      </c>
      <c r="G20" s="56">
        <v>432924</v>
      </c>
      <c r="H20" s="56">
        <v>192826</v>
      </c>
      <c r="I20" s="56">
        <v>175314</v>
      </c>
      <c r="J20" s="56">
        <v>171026</v>
      </c>
      <c r="K20" s="56">
        <v>173252</v>
      </c>
      <c r="L20" s="56">
        <v>178832</v>
      </c>
      <c r="M20" s="56">
        <v>190436</v>
      </c>
      <c r="N20" s="56">
        <v>192051</v>
      </c>
      <c r="O20" s="56">
        <v>180910.06</v>
      </c>
      <c r="P20" s="56">
        <v>174949</v>
      </c>
      <c r="Q20" s="56">
        <v>176594</v>
      </c>
      <c r="R20" s="56">
        <v>178434</v>
      </c>
      <c r="S20" s="56">
        <v>181131.19</v>
      </c>
      <c r="T20" s="56">
        <v>189808.72999999998</v>
      </c>
      <c r="U20" s="56">
        <v>181800.3</v>
      </c>
      <c r="V20" s="56">
        <v>188091.41999999998</v>
      </c>
      <c r="W20" s="56">
        <v>188780.16</v>
      </c>
      <c r="X20" s="56">
        <v>189284</v>
      </c>
      <c r="Y20" s="56">
        <v>189603.66999999998</v>
      </c>
      <c r="Z20" s="56">
        <v>193026.39</v>
      </c>
      <c r="AA20" s="56">
        <v>198644.05</v>
      </c>
      <c r="AB20" s="56">
        <v>204212.4</v>
      </c>
    </row>
    <row r="21" spans="1:28" ht="13.5">
      <c r="A21" s="168"/>
      <c r="B21" s="12"/>
      <c r="C21" s="12" t="s">
        <v>13</v>
      </c>
      <c r="D21" s="12"/>
      <c r="E21" s="12"/>
      <c r="F21" s="56">
        <v>1827331</v>
      </c>
      <c r="G21" s="56">
        <v>1829391</v>
      </c>
      <c r="H21" s="56">
        <v>1862647</v>
      </c>
      <c r="I21" s="56">
        <v>1766111</v>
      </c>
      <c r="J21" s="56">
        <v>1711232</v>
      </c>
      <c r="K21" s="56">
        <v>1624864</v>
      </c>
      <c r="L21" s="56">
        <v>1530869</v>
      </c>
      <c r="M21" s="56">
        <v>1456115</v>
      </c>
      <c r="N21" s="56">
        <v>1356596.55</v>
      </c>
      <c r="O21" s="56">
        <v>1290573</v>
      </c>
      <c r="P21" s="56">
        <v>1211992</v>
      </c>
      <c r="Q21" s="56">
        <v>1117625</v>
      </c>
      <c r="R21" s="56">
        <v>1024614.52</v>
      </c>
      <c r="S21" s="56">
        <v>956606.96</v>
      </c>
      <c r="T21" s="56">
        <v>876523.26</v>
      </c>
      <c r="U21" s="56">
        <v>801602.19</v>
      </c>
      <c r="V21" s="56">
        <v>754796.11</v>
      </c>
      <c r="W21" s="56">
        <v>728012.90262000007</v>
      </c>
      <c r="X21" s="56">
        <v>711351.57518819394</v>
      </c>
      <c r="Y21" s="56">
        <v>697673.85937984043</v>
      </c>
      <c r="Z21" s="56">
        <v>701357.59</v>
      </c>
      <c r="AA21" s="56">
        <v>704287.74</v>
      </c>
      <c r="AB21" s="56">
        <v>312760.45</v>
      </c>
    </row>
    <row r="22" spans="1:28" ht="13.5">
      <c r="A22" s="168"/>
      <c r="B22" s="12"/>
      <c r="C22" s="12" t="s">
        <v>188</v>
      </c>
      <c r="D22" s="12"/>
      <c r="E22" s="12"/>
      <c r="F22" s="56">
        <v>702878</v>
      </c>
      <c r="G22" s="56">
        <v>699724</v>
      </c>
      <c r="H22" s="56">
        <v>632223</v>
      </c>
      <c r="I22" s="56">
        <v>591320</v>
      </c>
      <c r="J22" s="56">
        <v>565229</v>
      </c>
      <c r="K22" s="56">
        <v>560258</v>
      </c>
      <c r="L22" s="56">
        <v>568808</v>
      </c>
      <c r="M22" s="56">
        <v>622148</v>
      </c>
      <c r="N22" s="56">
        <v>695588</v>
      </c>
      <c r="O22" s="56">
        <v>736175.64</v>
      </c>
      <c r="P22" s="56">
        <v>784189</v>
      </c>
      <c r="Q22" s="56">
        <v>827076</v>
      </c>
      <c r="R22" s="56">
        <v>874362</v>
      </c>
      <c r="S22" s="56">
        <v>911326.08704635222</v>
      </c>
      <c r="T22" s="56">
        <v>950728.88</v>
      </c>
      <c r="U22" s="56">
        <v>963021.65129032254</v>
      </c>
      <c r="V22" s="56">
        <v>971661.1</v>
      </c>
      <c r="W22" s="56">
        <v>978620.77</v>
      </c>
      <c r="X22" s="56">
        <v>970919.55</v>
      </c>
      <c r="Y22" s="56">
        <v>961664.81</v>
      </c>
      <c r="Z22" s="56">
        <v>960632.69</v>
      </c>
      <c r="AA22" s="56">
        <v>966541.16</v>
      </c>
      <c r="AB22" s="56">
        <v>1256417.3799999999</v>
      </c>
    </row>
    <row r="23" spans="1:28" ht="13.5">
      <c r="A23" s="168"/>
      <c r="B23" s="12"/>
      <c r="C23" s="12" t="s">
        <v>15</v>
      </c>
      <c r="D23" s="12"/>
      <c r="E23" s="12"/>
      <c r="F23" s="56">
        <v>1644998</v>
      </c>
      <c r="G23" s="56">
        <v>1662752</v>
      </c>
      <c r="H23" s="56">
        <v>1740518</v>
      </c>
      <c r="I23" s="56">
        <v>1695971</v>
      </c>
      <c r="J23" s="56">
        <v>1661116</v>
      </c>
      <c r="K23" s="56">
        <v>1638957</v>
      </c>
      <c r="L23" s="56">
        <v>1633695.72</v>
      </c>
      <c r="M23" s="56">
        <v>1606985</v>
      </c>
      <c r="N23" s="56">
        <v>1559179.75</v>
      </c>
      <c r="O23" s="56">
        <v>1531427</v>
      </c>
      <c r="P23" s="56">
        <v>1468505</v>
      </c>
      <c r="Q23" s="56">
        <v>1406917</v>
      </c>
      <c r="R23" s="56">
        <v>1334603.45</v>
      </c>
      <c r="S23" s="56">
        <v>1278477.3600000001</v>
      </c>
      <c r="T23" s="56">
        <v>1215805.7</v>
      </c>
      <c r="U23" s="56">
        <v>1185755.77</v>
      </c>
      <c r="V23" s="56">
        <v>1170440.71</v>
      </c>
      <c r="W23" s="56">
        <v>1162957.3999999999</v>
      </c>
      <c r="X23" s="56">
        <v>1158900</v>
      </c>
      <c r="Y23" s="56">
        <v>1160931.5000000002</v>
      </c>
      <c r="Z23" s="56">
        <v>1162959.1000000001</v>
      </c>
      <c r="AA23" s="56">
        <v>1187492.7</v>
      </c>
      <c r="AB23" s="56">
        <v>1195098.2</v>
      </c>
    </row>
    <row r="24" spans="1:28" ht="13.5">
      <c r="A24" s="168"/>
      <c r="B24" s="12"/>
      <c r="C24" s="12" t="s">
        <v>16</v>
      </c>
      <c r="D24" s="12"/>
      <c r="E24" s="12"/>
      <c r="F24" s="56">
        <v>2029068.4165795073</v>
      </c>
      <c r="G24" s="56"/>
      <c r="H24" s="56">
        <v>2122922</v>
      </c>
      <c r="I24" s="56">
        <v>2146363</v>
      </c>
      <c r="J24" s="56">
        <v>2167833</v>
      </c>
      <c r="K24" s="56">
        <v>2215041</v>
      </c>
      <c r="L24" s="56">
        <v>2113838.4996698219</v>
      </c>
      <c r="M24" s="56">
        <v>2114801</v>
      </c>
      <c r="N24" s="56">
        <v>2082951.7</v>
      </c>
      <c r="O24" s="56">
        <v>2110700.5499999998</v>
      </c>
      <c r="P24" s="56">
        <v>2091287</v>
      </c>
      <c r="Q24" s="56">
        <v>2077683</v>
      </c>
      <c r="R24" s="56">
        <v>2044633.5899999999</v>
      </c>
      <c r="S24" s="56">
        <v>2019909.7828968146</v>
      </c>
      <c r="T24" s="56">
        <v>2024838.4229392065</v>
      </c>
      <c r="U24" s="56">
        <v>2069333.3249996037</v>
      </c>
      <c r="V24" s="56">
        <v>2084414.5412121848</v>
      </c>
      <c r="W24" s="56">
        <v>2084351.8688558054</v>
      </c>
      <c r="X24" s="56">
        <v>2065388.1658254128</v>
      </c>
      <c r="Y24" s="56">
        <v>2069679.718036748</v>
      </c>
      <c r="Z24" s="56">
        <v>2158098.9000000004</v>
      </c>
      <c r="AA24" s="56">
        <v>2283867.1500000004</v>
      </c>
      <c r="AB24" s="56">
        <v>2303909.98</v>
      </c>
    </row>
    <row r="25" spans="1:28" ht="13.5">
      <c r="A25" s="168"/>
      <c r="B25" s="12"/>
      <c r="C25" s="12" t="s">
        <v>187</v>
      </c>
      <c r="D25" s="12"/>
      <c r="E25" s="12"/>
      <c r="F25" s="56">
        <v>737342</v>
      </c>
      <c r="G25" s="56">
        <v>735776</v>
      </c>
      <c r="H25" s="56">
        <v>716174</v>
      </c>
      <c r="I25" s="56">
        <v>681202</v>
      </c>
      <c r="J25" s="56">
        <v>666254</v>
      </c>
      <c r="K25" s="56">
        <v>650434.99</v>
      </c>
      <c r="L25" s="56">
        <v>653053.01883174735</v>
      </c>
      <c r="M25" s="56">
        <v>694546</v>
      </c>
      <c r="N25" s="56">
        <v>785018.07160000002</v>
      </c>
      <c r="O25" s="56">
        <v>858180.62</v>
      </c>
      <c r="P25" s="56">
        <v>938853</v>
      </c>
      <c r="Q25" s="56">
        <v>1041424</v>
      </c>
      <c r="R25" s="56">
        <v>1141367.8399999999</v>
      </c>
      <c r="S25" s="56">
        <v>1230702.6750745815</v>
      </c>
      <c r="T25" s="56">
        <v>1317729.6858550764</v>
      </c>
      <c r="U25" s="56">
        <v>1435542.73295985</v>
      </c>
      <c r="V25" s="56">
        <v>1505809.2224243083</v>
      </c>
      <c r="W25" s="56">
        <v>1568570.0092316263</v>
      </c>
      <c r="X25" s="56">
        <v>1588852.5779078528</v>
      </c>
      <c r="Y25" s="56">
        <v>1611915.3144079032</v>
      </c>
      <c r="Z25" s="56">
        <v>1653359.74</v>
      </c>
      <c r="AA25" s="56">
        <v>1705597.6800000002</v>
      </c>
      <c r="AB25" s="56">
        <v>1861025.63</v>
      </c>
    </row>
    <row r="26" spans="1:28" ht="13.5">
      <c r="A26" s="168"/>
      <c r="B26" s="12"/>
      <c r="C26" s="12" t="s">
        <v>11</v>
      </c>
      <c r="D26" s="12"/>
      <c r="E26" s="12"/>
      <c r="F26" s="56">
        <v>61987</v>
      </c>
      <c r="G26" s="56">
        <v>64074</v>
      </c>
      <c r="H26" s="56">
        <v>65597</v>
      </c>
      <c r="I26" s="56">
        <v>65816</v>
      </c>
      <c r="J26" s="56">
        <v>66534</v>
      </c>
      <c r="K26" s="56">
        <v>68635</v>
      </c>
      <c r="L26" s="56">
        <v>71059</v>
      </c>
      <c r="M26" s="56">
        <v>73161</v>
      </c>
      <c r="N26" s="56">
        <v>75613.100000000006</v>
      </c>
      <c r="O26" s="56">
        <v>77608.91</v>
      </c>
      <c r="P26" s="56">
        <v>79226.02</v>
      </c>
      <c r="Q26" s="56">
        <v>80821.66</v>
      </c>
      <c r="R26" s="56">
        <v>80965.999999999971</v>
      </c>
      <c r="S26" s="56">
        <v>79704.684026147079</v>
      </c>
      <c r="T26" s="56">
        <v>71742.789999999994</v>
      </c>
      <c r="U26" s="56">
        <v>79700.544342315916</v>
      </c>
      <c r="V26" s="56">
        <v>80789.409999999989</v>
      </c>
      <c r="W26" s="56">
        <v>81292.180000000008</v>
      </c>
      <c r="X26" s="56">
        <v>82993.017674846502</v>
      </c>
      <c r="Y26" s="56">
        <v>83816.542987407942</v>
      </c>
      <c r="Z26" s="56">
        <v>84766.760000000009</v>
      </c>
      <c r="AA26" s="56">
        <v>85442.813696870377</v>
      </c>
      <c r="AB26" s="56">
        <v>85328.68</v>
      </c>
    </row>
    <row r="27" spans="1:28" ht="13.5">
      <c r="A27" s="168"/>
      <c r="B27" s="12"/>
      <c r="C27" s="12" t="s">
        <v>17</v>
      </c>
      <c r="D27" s="12"/>
      <c r="E27" s="12"/>
      <c r="F27" s="56">
        <v>1307</v>
      </c>
      <c r="G27" s="56">
        <v>1404</v>
      </c>
      <c r="H27" s="56">
        <v>1374</v>
      </c>
      <c r="I27" s="56">
        <v>1451</v>
      </c>
      <c r="J27" s="56">
        <v>1420</v>
      </c>
      <c r="K27" s="56">
        <v>1444</v>
      </c>
      <c r="L27" s="56">
        <v>1308</v>
      </c>
      <c r="M27" s="56">
        <v>1464</v>
      </c>
      <c r="N27" s="56">
        <v>1251</v>
      </c>
      <c r="O27" s="56">
        <v>1431</v>
      </c>
      <c r="P27" s="56">
        <v>1243</v>
      </c>
      <c r="Q27" s="56">
        <v>985</v>
      </c>
      <c r="R27" s="56">
        <v>1049</v>
      </c>
      <c r="S27" s="56">
        <v>1022.5440933762852</v>
      </c>
      <c r="T27" s="56">
        <v>1419.2304575317676</v>
      </c>
      <c r="U27" s="56">
        <v>1374.4537735255826</v>
      </c>
      <c r="V27" s="56">
        <v>1338.2619066692528</v>
      </c>
      <c r="W27" s="56">
        <v>1165.5455821668952</v>
      </c>
      <c r="X27" s="56">
        <v>1242</v>
      </c>
      <c r="Y27" s="56">
        <v>1153</v>
      </c>
      <c r="Z27" s="56">
        <v>1145</v>
      </c>
      <c r="AA27" s="56">
        <v>1166</v>
      </c>
      <c r="AB27" s="56">
        <v>1148</v>
      </c>
    </row>
    <row r="28" spans="1:28" ht="13.5">
      <c r="A28" s="168"/>
      <c r="B28" s="13"/>
      <c r="C28" s="13" t="s">
        <v>18</v>
      </c>
      <c r="D28" s="13"/>
      <c r="E28" s="13"/>
      <c r="F28" s="56">
        <v>14035</v>
      </c>
      <c r="G28" s="56">
        <v>16158</v>
      </c>
      <c r="H28" s="56">
        <v>17149</v>
      </c>
      <c r="I28" s="56">
        <v>17981</v>
      </c>
      <c r="J28" s="56">
        <v>18859</v>
      </c>
      <c r="K28" s="56">
        <v>18783.330000000002</v>
      </c>
      <c r="L28" s="56">
        <v>18981.86</v>
      </c>
      <c r="M28" s="56">
        <v>18928</v>
      </c>
      <c r="N28" s="56">
        <v>18866</v>
      </c>
      <c r="O28" s="56">
        <v>19025</v>
      </c>
      <c r="P28" s="56">
        <v>19923</v>
      </c>
      <c r="Q28" s="56">
        <v>19677</v>
      </c>
      <c r="R28" s="56">
        <v>19355.5</v>
      </c>
      <c r="S28" s="56">
        <v>19350.917602930145</v>
      </c>
      <c r="T28" s="56">
        <v>18181.770708858843</v>
      </c>
      <c r="U28" s="56">
        <v>18116.462185827622</v>
      </c>
      <c r="V28" s="56">
        <v>17733.404766673135</v>
      </c>
      <c r="W28" s="56">
        <v>17229.82608695652</v>
      </c>
      <c r="X28" s="56">
        <v>16679.5</v>
      </c>
      <c r="Y28" s="56">
        <v>16160.75</v>
      </c>
      <c r="Z28" s="56">
        <v>15585.9</v>
      </c>
      <c r="AA28" s="56">
        <v>14729.900000000001</v>
      </c>
      <c r="AB28" s="56">
        <v>14173.9</v>
      </c>
    </row>
    <row r="29" spans="1:28" ht="13.5">
      <c r="A29" s="168"/>
      <c r="B29" s="9" t="s">
        <v>125</v>
      </c>
      <c r="C29" s="9"/>
      <c r="D29" s="9"/>
      <c r="E29" s="9"/>
      <c r="F29" s="60">
        <v>3840103.6340119853</v>
      </c>
      <c r="G29" s="60">
        <v>3938582</v>
      </c>
      <c r="H29" s="60">
        <v>4031190</v>
      </c>
      <c r="I29" s="60">
        <v>4079500</v>
      </c>
      <c r="J29" s="60">
        <v>4142678.69</v>
      </c>
      <c r="K29" s="60">
        <v>4141827.2</v>
      </c>
      <c r="L29" s="60">
        <v>4276523.2114984309</v>
      </c>
      <c r="M29" s="60">
        <v>4343447.2425039597</v>
      </c>
      <c r="N29" s="60">
        <v>4425776.9950000001</v>
      </c>
      <c r="O29" s="60">
        <v>4370748.4000000004</v>
      </c>
      <c r="P29" s="60">
        <v>4343826.8100000005</v>
      </c>
      <c r="Q29" s="60">
        <v>4309045</v>
      </c>
      <c r="R29" s="60">
        <v>4322098.51</v>
      </c>
      <c r="S29" s="60">
        <v>4343637.8410658548</v>
      </c>
      <c r="T29" s="60">
        <v>4361683.9686960913</v>
      </c>
      <c r="U29" s="60">
        <v>4311207.0422600731</v>
      </c>
      <c r="V29" s="60">
        <v>4255157.8391694715</v>
      </c>
      <c r="W29" s="60">
        <v>4219105.6509157326</v>
      </c>
      <c r="X29" s="60">
        <v>4237298.2210416058</v>
      </c>
      <c r="Y29" s="60">
        <v>4217713.1504667718</v>
      </c>
      <c r="Z29" s="60">
        <v>4135677.1756703379</v>
      </c>
      <c r="AA29" s="60">
        <v>4049951.0337284654</v>
      </c>
      <c r="AB29" s="60">
        <v>4023409.5490000034</v>
      </c>
    </row>
    <row r="30" spans="1:28" ht="13.5">
      <c r="A30" s="168"/>
      <c r="B30" s="11" t="s">
        <v>127</v>
      </c>
      <c r="C30" s="11"/>
      <c r="D30" s="11"/>
      <c r="E30" s="11"/>
      <c r="F30" s="60">
        <v>1314061.6340119853</v>
      </c>
      <c r="G30" s="60">
        <v>1343454</v>
      </c>
      <c r="H30" s="60">
        <v>1373802</v>
      </c>
      <c r="I30" s="60">
        <v>1397290</v>
      </c>
      <c r="J30" s="60">
        <v>1434942.69</v>
      </c>
      <c r="K30" s="60">
        <v>1439930.95</v>
      </c>
      <c r="L30" s="60">
        <v>1585564.571498431</v>
      </c>
      <c r="M30" s="60">
        <v>1667343.2425039602</v>
      </c>
      <c r="N30" s="60">
        <v>1774953.2310000001</v>
      </c>
      <c r="O30" s="60">
        <v>1751591.16</v>
      </c>
      <c r="P30" s="60">
        <v>1766812.81</v>
      </c>
      <c r="Q30" s="60">
        <v>1748533</v>
      </c>
      <c r="R30" s="60">
        <v>1771509.5100000002</v>
      </c>
      <c r="S30" s="60">
        <v>1784147.8770943058</v>
      </c>
      <c r="T30" s="60">
        <v>1760504.1749496001</v>
      </c>
      <c r="U30" s="60">
        <v>1713911.8095045197</v>
      </c>
      <c r="V30" s="60">
        <v>1686997.5282394628</v>
      </c>
      <c r="W30" s="60">
        <v>1675695.8898600801</v>
      </c>
      <c r="X30" s="60">
        <v>1721622.5560416055</v>
      </c>
      <c r="Y30" s="60">
        <v>1737498.7184677725</v>
      </c>
      <c r="Z30" s="60">
        <v>1676109.07</v>
      </c>
      <c r="AA30" s="60">
        <v>1582807.8400284576</v>
      </c>
      <c r="AB30" s="60">
        <v>1570622.1500000001</v>
      </c>
    </row>
    <row r="31" spans="1:28" ht="13.5">
      <c r="A31" s="168"/>
      <c r="B31" s="12"/>
      <c r="C31" s="12" t="s">
        <v>16</v>
      </c>
      <c r="D31" s="12"/>
      <c r="E31" s="12"/>
      <c r="F31" s="56">
        <v>1127245.5834204927</v>
      </c>
      <c r="G31" s="56">
        <v>1149190</v>
      </c>
      <c r="H31" s="56">
        <v>1170164</v>
      </c>
      <c r="I31" s="56">
        <v>1185826</v>
      </c>
      <c r="J31" s="56">
        <v>1222733.69</v>
      </c>
      <c r="K31" s="56">
        <v>1229484</v>
      </c>
      <c r="L31" s="56">
        <v>1374974.150330178</v>
      </c>
      <c r="M31" s="56">
        <v>1456338.2425039602</v>
      </c>
      <c r="N31" s="56">
        <v>1553341</v>
      </c>
      <c r="O31" s="56">
        <v>1518478.48</v>
      </c>
      <c r="P31" s="56">
        <v>1523032</v>
      </c>
      <c r="Q31" s="56">
        <v>1498398</v>
      </c>
      <c r="R31" s="56">
        <v>1506511.35</v>
      </c>
      <c r="S31" s="56">
        <v>1496601.7875808293</v>
      </c>
      <c r="T31" s="56">
        <v>1465179.3634040921</v>
      </c>
      <c r="U31" s="56">
        <v>1406916.2249333742</v>
      </c>
      <c r="V31" s="56">
        <v>1373629.9589295266</v>
      </c>
      <c r="W31" s="56">
        <v>1359644.0511726385</v>
      </c>
      <c r="X31" s="56">
        <v>1393618.0041745871</v>
      </c>
      <c r="Y31" s="56">
        <v>1397045.6819632519</v>
      </c>
      <c r="Z31" s="56">
        <v>1331864.3999999999</v>
      </c>
      <c r="AA31" s="56">
        <v>1235973.75</v>
      </c>
      <c r="AB31" s="56">
        <v>1225794.77</v>
      </c>
    </row>
    <row r="32" spans="1:28" ht="13.5">
      <c r="A32" s="168"/>
      <c r="B32" s="12"/>
      <c r="C32" s="12" t="s">
        <v>187</v>
      </c>
      <c r="D32" s="12"/>
      <c r="E32" s="12"/>
      <c r="F32" s="56">
        <v>114060.05059149257</v>
      </c>
      <c r="G32" s="56">
        <v>119636</v>
      </c>
      <c r="H32" s="56">
        <v>123883</v>
      </c>
      <c r="I32" s="56">
        <v>129520</v>
      </c>
      <c r="J32" s="56">
        <v>129154</v>
      </c>
      <c r="K32" s="56">
        <v>128244</v>
      </c>
      <c r="L32" s="56">
        <v>130580.611168253</v>
      </c>
      <c r="M32" s="56">
        <v>131124</v>
      </c>
      <c r="N32" s="56">
        <v>141154.391</v>
      </c>
      <c r="O32" s="56">
        <v>151864</v>
      </c>
      <c r="P32" s="56">
        <v>161799</v>
      </c>
      <c r="Q32" s="56">
        <v>170400</v>
      </c>
      <c r="R32" s="56">
        <v>185555.54</v>
      </c>
      <c r="S32" s="56">
        <v>209875.97378403266</v>
      </c>
      <c r="T32" s="56">
        <v>218557.31270999103</v>
      </c>
      <c r="U32" s="56">
        <v>231545.52487984797</v>
      </c>
      <c r="V32" s="56">
        <v>239011.19594691944</v>
      </c>
      <c r="W32" s="56">
        <v>244829.2003568034</v>
      </c>
      <c r="X32" s="56">
        <v>257629.31209214719</v>
      </c>
      <c r="Y32" s="56">
        <v>271631.44559209672</v>
      </c>
      <c r="Z32" s="56">
        <v>280075.08</v>
      </c>
      <c r="AA32" s="56">
        <v>285192.87363636366</v>
      </c>
      <c r="AB32" s="56">
        <v>285554.34999999998</v>
      </c>
    </row>
    <row r="33" spans="1:28" ht="13.5">
      <c r="A33" s="168"/>
      <c r="B33" s="12"/>
      <c r="C33" s="12" t="s">
        <v>11</v>
      </c>
      <c r="D33" s="12"/>
      <c r="E33" s="12"/>
      <c r="F33" s="56">
        <v>26201</v>
      </c>
      <c r="G33" s="56">
        <v>26230</v>
      </c>
      <c r="H33" s="56">
        <v>26530</v>
      </c>
      <c r="I33" s="56">
        <v>27332</v>
      </c>
      <c r="J33" s="56">
        <v>27526</v>
      </c>
      <c r="K33" s="56">
        <v>27199</v>
      </c>
      <c r="L33" s="56">
        <v>26394</v>
      </c>
      <c r="M33" s="56">
        <v>26596</v>
      </c>
      <c r="N33" s="56">
        <v>26327.84</v>
      </c>
      <c r="O33" s="56">
        <v>26413.18</v>
      </c>
      <c r="P33" s="56">
        <v>27115.809999999998</v>
      </c>
      <c r="Q33" s="56">
        <v>26995</v>
      </c>
      <c r="R33" s="56">
        <v>28040</v>
      </c>
      <c r="S33" s="56">
        <v>28762.134580332939</v>
      </c>
      <c r="T33" s="56">
        <v>29446.100000000002</v>
      </c>
      <c r="U33" s="56">
        <v>30154.975657684095</v>
      </c>
      <c r="V33" s="56">
        <v>30793.039999999997</v>
      </c>
      <c r="W33" s="56">
        <v>30424.510000000002</v>
      </c>
      <c r="X33" s="56">
        <v>30692.739774871468</v>
      </c>
      <c r="Y33" s="56">
        <v>30934.390912423922</v>
      </c>
      <c r="Z33" s="56">
        <v>30068.59</v>
      </c>
      <c r="AA33" s="56">
        <v>29583.216392094011</v>
      </c>
      <c r="AB33" s="56">
        <v>29029.53</v>
      </c>
    </row>
    <row r="34" spans="1:28" ht="13.5">
      <c r="A34" s="168"/>
      <c r="B34" s="12"/>
      <c r="C34" s="12" t="s">
        <v>19</v>
      </c>
      <c r="D34" s="12"/>
      <c r="E34" s="12"/>
      <c r="F34" s="56">
        <v>22853</v>
      </c>
      <c r="G34" s="56">
        <v>22794</v>
      </c>
      <c r="H34" s="56">
        <v>25872</v>
      </c>
      <c r="I34" s="56">
        <v>26862</v>
      </c>
      <c r="J34" s="56">
        <v>26977</v>
      </c>
      <c r="K34" s="56">
        <v>26341.71</v>
      </c>
      <c r="L34" s="56">
        <v>25411.52</v>
      </c>
      <c r="M34" s="56">
        <v>25497</v>
      </c>
      <c r="N34" s="56">
        <v>25152</v>
      </c>
      <c r="O34" s="56">
        <v>24918.5</v>
      </c>
      <c r="P34" s="56">
        <v>23721</v>
      </c>
      <c r="Q34" s="56">
        <v>23332</v>
      </c>
      <c r="R34" s="56">
        <v>22991.25</v>
      </c>
      <c r="S34" s="56">
        <v>21804.481149110805</v>
      </c>
      <c r="T34" s="56">
        <v>21098.398835516738</v>
      </c>
      <c r="U34" s="56">
        <v>19620.084033613446</v>
      </c>
      <c r="V34" s="56">
        <v>19166.690476190477</v>
      </c>
      <c r="W34" s="56">
        <v>18331.388499298737</v>
      </c>
      <c r="X34" s="56">
        <v>18061.5</v>
      </c>
      <c r="Y34" s="56">
        <v>17079.2</v>
      </c>
      <c r="Z34" s="56">
        <v>15303.5</v>
      </c>
      <c r="AA34" s="56">
        <v>13857.5</v>
      </c>
      <c r="AB34" s="56">
        <v>13600.5</v>
      </c>
    </row>
    <row r="35" spans="1:28" ht="13.5">
      <c r="A35" s="168"/>
      <c r="B35" s="14"/>
      <c r="C35" s="14" t="s">
        <v>20</v>
      </c>
      <c r="D35" s="14"/>
      <c r="E35" s="14"/>
      <c r="F35" s="56">
        <v>23702</v>
      </c>
      <c r="G35" s="56">
        <v>25604</v>
      </c>
      <c r="H35" s="56">
        <v>27353</v>
      </c>
      <c r="I35" s="56">
        <v>27750</v>
      </c>
      <c r="J35" s="56">
        <v>28552</v>
      </c>
      <c r="K35" s="56">
        <v>28662.239999999998</v>
      </c>
      <c r="L35" s="56">
        <v>28204.29</v>
      </c>
      <c r="M35" s="56">
        <v>27788</v>
      </c>
      <c r="N35" s="56">
        <v>28978</v>
      </c>
      <c r="O35" s="56">
        <v>29917</v>
      </c>
      <c r="P35" s="56">
        <v>31145</v>
      </c>
      <c r="Q35" s="56">
        <v>29408</v>
      </c>
      <c r="R35" s="56">
        <v>28411.370000000003</v>
      </c>
      <c r="S35" s="56">
        <v>27103.5</v>
      </c>
      <c r="T35" s="56">
        <v>26223</v>
      </c>
      <c r="U35" s="56">
        <v>25675</v>
      </c>
      <c r="V35" s="56">
        <v>24396.642886825968</v>
      </c>
      <c r="W35" s="56">
        <v>22466.739831339426</v>
      </c>
      <c r="X35" s="56">
        <v>21621</v>
      </c>
      <c r="Y35" s="56">
        <v>20808</v>
      </c>
      <c r="Z35" s="56">
        <v>18797.5</v>
      </c>
      <c r="AA35" s="56">
        <v>18200.5</v>
      </c>
      <c r="AB35" s="56">
        <v>16643</v>
      </c>
    </row>
    <row r="36" spans="1:28" ht="16.5" customHeight="1">
      <c r="A36" s="168"/>
      <c r="B36" s="15"/>
      <c r="C36" s="15"/>
      <c r="D36" s="15"/>
      <c r="E36" s="15"/>
      <c r="F36" s="60"/>
      <c r="G36" s="60">
        <v>0</v>
      </c>
      <c r="H36" s="60"/>
      <c r="I36" s="60"/>
      <c r="J36" s="60"/>
      <c r="K36" s="60"/>
      <c r="L36" s="60"/>
      <c r="M36" s="60"/>
      <c r="N36" s="60"/>
      <c r="O36" s="60"/>
      <c r="P36" s="60"/>
      <c r="Q36" s="60"/>
      <c r="R36" s="60"/>
      <c r="S36" s="60"/>
      <c r="T36" s="60"/>
      <c r="U36" s="60"/>
      <c r="V36" s="60"/>
      <c r="W36" s="60"/>
      <c r="X36" s="60"/>
      <c r="Y36" s="60"/>
      <c r="Z36" s="60"/>
      <c r="AA36" s="60"/>
      <c r="AB36" s="60"/>
    </row>
    <row r="37" spans="1:28" ht="13.5">
      <c r="A37" s="168">
        <v>66</v>
      </c>
      <c r="B37" s="10" t="s">
        <v>128</v>
      </c>
      <c r="C37" s="10"/>
      <c r="D37" s="10"/>
      <c r="E37" s="10"/>
      <c r="F37" s="61">
        <v>2526042</v>
      </c>
      <c r="G37" s="61">
        <v>2595128</v>
      </c>
      <c r="H37" s="61">
        <v>2657388</v>
      </c>
      <c r="I37" s="61">
        <v>2682210</v>
      </c>
      <c r="J37" s="61">
        <v>2707736</v>
      </c>
      <c r="K37" s="61">
        <v>2701896.25</v>
      </c>
      <c r="L37" s="61">
        <v>2690958.6399999997</v>
      </c>
      <c r="M37" s="61">
        <v>2676104</v>
      </c>
      <c r="N37" s="61">
        <v>2650823.764</v>
      </c>
      <c r="O37" s="61">
        <v>2619157.2400000002</v>
      </c>
      <c r="P37" s="61">
        <v>2577014</v>
      </c>
      <c r="Q37" s="61">
        <v>2560512</v>
      </c>
      <c r="R37" s="61">
        <v>2550589</v>
      </c>
      <c r="S37" s="61">
        <v>2559489.9639715487</v>
      </c>
      <c r="T37" s="61">
        <v>2601179.7937464914</v>
      </c>
      <c r="U37" s="61">
        <v>2597295.232755553</v>
      </c>
      <c r="V37" s="61">
        <v>2568160.3109300085</v>
      </c>
      <c r="W37" s="61">
        <v>2543409.7610556521</v>
      </c>
      <c r="X37" s="61">
        <v>2515675.665</v>
      </c>
      <c r="Y37" s="61">
        <v>2480214.4319989998</v>
      </c>
      <c r="Z37" s="61">
        <v>2459568.1056703376</v>
      </c>
      <c r="AA37" s="61">
        <v>2467143.1937000076</v>
      </c>
      <c r="AB37" s="61">
        <v>2452787.3990000035</v>
      </c>
    </row>
    <row r="38" spans="1:28" ht="13.5">
      <c r="A38" s="168"/>
      <c r="B38" s="12"/>
      <c r="C38" s="12" t="s">
        <v>21</v>
      </c>
      <c r="D38" s="12"/>
      <c r="E38" s="12"/>
      <c r="F38" s="62">
        <v>1259389</v>
      </c>
      <c r="G38" s="62">
        <v>1248168</v>
      </c>
      <c r="H38" s="62">
        <v>1237803</v>
      </c>
      <c r="I38" s="62">
        <v>1230059</v>
      </c>
      <c r="J38" s="62">
        <v>1228328</v>
      </c>
      <c r="K38" s="62">
        <v>1211892.17</v>
      </c>
      <c r="L38" s="62">
        <v>1215327.68</v>
      </c>
      <c r="M38" s="62">
        <v>1179428</v>
      </c>
      <c r="N38" s="62">
        <v>1146661.264</v>
      </c>
      <c r="O38" s="62">
        <v>1116460.48</v>
      </c>
      <c r="P38" s="62">
        <v>1099040</v>
      </c>
      <c r="Q38" s="62">
        <v>1075734</v>
      </c>
      <c r="R38" s="62">
        <v>1063532</v>
      </c>
      <c r="S38" s="62">
        <v>1052229.0259618729</v>
      </c>
      <c r="T38" s="56">
        <v>1111136.0872733025</v>
      </c>
      <c r="U38" s="56">
        <v>1109795.0834760221</v>
      </c>
      <c r="V38" s="56">
        <v>1091095.0519161867</v>
      </c>
      <c r="W38" s="56">
        <v>1083854.7193917756</v>
      </c>
      <c r="X38" s="56">
        <v>1056158.6689579999</v>
      </c>
      <c r="Y38" s="56">
        <v>1028332.668706</v>
      </c>
      <c r="Z38" s="56">
        <v>1040346.1009636392</v>
      </c>
      <c r="AA38" s="56">
        <v>1070326.520041988</v>
      </c>
      <c r="AB38" s="62">
        <v>1108931.7283083601</v>
      </c>
    </row>
    <row r="39" spans="1:28" ht="13.5">
      <c r="A39" s="168"/>
      <c r="B39" s="12"/>
      <c r="C39" s="12"/>
      <c r="D39" s="12" t="s">
        <v>22</v>
      </c>
      <c r="E39" s="12"/>
      <c r="F39" s="56">
        <v>1020818</v>
      </c>
      <c r="G39" s="56">
        <v>1000071</v>
      </c>
      <c r="H39" s="56">
        <v>991815</v>
      </c>
      <c r="I39" s="56">
        <v>981494</v>
      </c>
      <c r="J39" s="56">
        <v>980085</v>
      </c>
      <c r="K39" s="56">
        <v>989010.97</v>
      </c>
      <c r="L39" s="56">
        <v>1011901.6799999999</v>
      </c>
      <c r="M39" s="56">
        <v>999299</v>
      </c>
      <c r="N39" s="56">
        <v>975731</v>
      </c>
      <c r="O39" s="56">
        <v>951927.88</v>
      </c>
      <c r="P39" s="56">
        <v>938659</v>
      </c>
      <c r="Q39" s="56">
        <v>919101</v>
      </c>
      <c r="R39" s="56">
        <v>902121</v>
      </c>
      <c r="S39" s="56">
        <v>880560.35555558885</v>
      </c>
      <c r="T39" s="56">
        <v>888374.42190832505</v>
      </c>
      <c r="U39" s="56">
        <v>876997.55251311639</v>
      </c>
      <c r="V39" s="56">
        <v>886631.29958774184</v>
      </c>
      <c r="W39" s="56">
        <v>888951.63817846077</v>
      </c>
      <c r="X39" s="56">
        <v>867347.11739399994</v>
      </c>
      <c r="Y39" s="56">
        <v>845271.21479899995</v>
      </c>
      <c r="Z39" s="56">
        <v>832510.44</v>
      </c>
      <c r="AA39" s="56">
        <v>830202.86361698795</v>
      </c>
      <c r="AB39" s="56">
        <v>828737.95773693162</v>
      </c>
    </row>
    <row r="40" spans="1:28" ht="13.5">
      <c r="A40" s="168"/>
      <c r="B40" s="12"/>
      <c r="C40" s="12"/>
      <c r="D40" s="12" t="s">
        <v>23</v>
      </c>
      <c r="E40" s="12"/>
      <c r="F40" s="56">
        <v>151645</v>
      </c>
      <c r="G40" s="56">
        <v>151827</v>
      </c>
      <c r="H40" s="56">
        <v>152219</v>
      </c>
      <c r="I40" s="56">
        <v>151394</v>
      </c>
      <c r="J40" s="56">
        <v>151237</v>
      </c>
      <c r="K40" s="56">
        <v>134219</v>
      </c>
      <c r="L40" s="56">
        <v>120843</v>
      </c>
      <c r="M40" s="56">
        <v>122847</v>
      </c>
      <c r="N40" s="56">
        <v>117708.264</v>
      </c>
      <c r="O40" s="56">
        <v>115741.6</v>
      </c>
      <c r="P40" s="56">
        <v>115131</v>
      </c>
      <c r="Q40" s="56">
        <v>113113</v>
      </c>
      <c r="R40" s="56">
        <v>118634</v>
      </c>
      <c r="S40" s="56">
        <v>135355.67040628401</v>
      </c>
      <c r="T40" s="56">
        <v>207934.66536497744</v>
      </c>
      <c r="U40" s="56">
        <v>218804.89096290589</v>
      </c>
      <c r="V40" s="56">
        <v>190718.70232844475</v>
      </c>
      <c r="W40" s="56">
        <v>181715.4268153148</v>
      </c>
      <c r="X40" s="56">
        <v>176818.00937299998</v>
      </c>
      <c r="Y40" s="56">
        <v>171025.57875499999</v>
      </c>
      <c r="Z40" s="56">
        <v>196144.818</v>
      </c>
      <c r="AA40" s="56">
        <v>228452.26642500021</v>
      </c>
      <c r="AB40" s="56">
        <v>268698.88057142851</v>
      </c>
    </row>
    <row r="41" spans="1:28" ht="13.5">
      <c r="A41" s="168"/>
      <c r="B41" s="12"/>
      <c r="C41" s="12"/>
      <c r="D41" s="12" t="s">
        <v>24</v>
      </c>
      <c r="E41" s="12"/>
      <c r="F41" s="56">
        <v>86926</v>
      </c>
      <c r="G41" s="56">
        <v>96270</v>
      </c>
      <c r="H41" s="56">
        <v>93769</v>
      </c>
      <c r="I41" s="56">
        <v>97171</v>
      </c>
      <c r="J41" s="56">
        <v>97006</v>
      </c>
      <c r="K41" s="56">
        <v>88662.2</v>
      </c>
      <c r="L41" s="56">
        <v>82583</v>
      </c>
      <c r="M41" s="56">
        <v>57282</v>
      </c>
      <c r="N41" s="56">
        <v>53222</v>
      </c>
      <c r="O41" s="56">
        <v>48791</v>
      </c>
      <c r="P41" s="56">
        <v>45250</v>
      </c>
      <c r="Q41" s="56">
        <v>43520</v>
      </c>
      <c r="R41" s="56">
        <v>42777</v>
      </c>
      <c r="S41" s="56">
        <v>36313</v>
      </c>
      <c r="T41" s="56">
        <v>14827</v>
      </c>
      <c r="U41" s="56">
        <v>13992.64</v>
      </c>
      <c r="V41" s="56">
        <v>13745.05</v>
      </c>
      <c r="W41" s="56">
        <v>13187.654398000001</v>
      </c>
      <c r="X41" s="56">
        <v>11993.542191</v>
      </c>
      <c r="Y41" s="56">
        <v>12035.875152000001</v>
      </c>
      <c r="Z41" s="56">
        <v>11690.842963639343</v>
      </c>
      <c r="AA41" s="56">
        <v>11671.39</v>
      </c>
      <c r="AB41" s="56">
        <v>11494.89</v>
      </c>
    </row>
    <row r="42" spans="1:28" ht="13.5">
      <c r="A42" s="168"/>
      <c r="B42" s="12"/>
      <c r="C42" s="12" t="s">
        <v>25</v>
      </c>
      <c r="D42" s="12"/>
      <c r="E42" s="12"/>
      <c r="F42" s="56">
        <v>962</v>
      </c>
      <c r="G42" s="56">
        <v>927</v>
      </c>
      <c r="H42" s="56">
        <v>897</v>
      </c>
      <c r="I42" s="56">
        <v>888</v>
      </c>
      <c r="J42" s="56">
        <v>906</v>
      </c>
      <c r="K42" s="56">
        <v>848</v>
      </c>
      <c r="L42" s="56">
        <v>755</v>
      </c>
      <c r="M42" s="56">
        <v>773</v>
      </c>
      <c r="N42" s="56">
        <v>800</v>
      </c>
      <c r="O42" s="56">
        <v>748</v>
      </c>
      <c r="P42" s="56">
        <v>686</v>
      </c>
      <c r="Q42" s="56">
        <v>572</v>
      </c>
      <c r="R42" s="56">
        <v>480</v>
      </c>
      <c r="S42" s="56">
        <v>427</v>
      </c>
      <c r="T42" s="56">
        <v>297</v>
      </c>
      <c r="U42" s="56">
        <v>259.48</v>
      </c>
      <c r="V42" s="56">
        <v>92.96</v>
      </c>
      <c r="W42" s="56">
        <v>129.48572100000001</v>
      </c>
      <c r="X42" s="56">
        <v>98.588611999999998</v>
      </c>
      <c r="Y42" s="56">
        <v>66.233563000000004</v>
      </c>
      <c r="Z42" s="56">
        <v>31.50970669842247</v>
      </c>
      <c r="AA42" s="56">
        <v>0</v>
      </c>
      <c r="AB42" s="56">
        <v>32.58</v>
      </c>
    </row>
    <row r="43" spans="1:28" ht="13.5">
      <c r="A43" s="168"/>
      <c r="B43" s="12"/>
      <c r="C43" s="12" t="s">
        <v>26</v>
      </c>
      <c r="D43" s="12"/>
      <c r="E43" s="12"/>
      <c r="F43" s="56">
        <v>715085</v>
      </c>
      <c r="G43" s="56">
        <v>776954</v>
      </c>
      <c r="H43" s="56">
        <v>844920</v>
      </c>
      <c r="I43" s="56">
        <v>867760</v>
      </c>
      <c r="J43" s="56">
        <v>888275</v>
      </c>
      <c r="K43" s="56">
        <v>847577.93</v>
      </c>
      <c r="L43" s="56">
        <v>820801</v>
      </c>
      <c r="M43" s="56">
        <v>811096</v>
      </c>
      <c r="N43" s="56">
        <v>790469.60000000009</v>
      </c>
      <c r="O43" s="56">
        <v>768199.9</v>
      </c>
      <c r="P43" s="56">
        <v>733037</v>
      </c>
      <c r="Q43" s="56">
        <v>719840</v>
      </c>
      <c r="R43" s="56">
        <v>702681</v>
      </c>
      <c r="S43" s="56">
        <v>717724.8121568762</v>
      </c>
      <c r="T43" s="56">
        <v>701345.19785367139</v>
      </c>
      <c r="U43" s="56">
        <v>703627.62731801276</v>
      </c>
      <c r="V43" s="56">
        <v>703688.72244829952</v>
      </c>
      <c r="W43" s="56">
        <v>700922.52902356326</v>
      </c>
      <c r="X43" s="56">
        <v>704942.71870199998</v>
      </c>
      <c r="Y43" s="56">
        <v>698633.91602100001</v>
      </c>
      <c r="Z43" s="56">
        <v>676261.85499999998</v>
      </c>
      <c r="AA43" s="56">
        <v>663382.52796059672</v>
      </c>
      <c r="AB43" s="56">
        <v>634216.38604353403</v>
      </c>
    </row>
    <row r="44" spans="1:28" ht="13.5">
      <c r="A44" s="168"/>
      <c r="B44" s="12"/>
      <c r="C44" s="12" t="s">
        <v>27</v>
      </c>
      <c r="D44" s="12"/>
      <c r="E44" s="12"/>
      <c r="F44" s="56">
        <v>18987</v>
      </c>
      <c r="G44" s="56">
        <v>20914</v>
      </c>
      <c r="H44" s="56">
        <v>25940</v>
      </c>
      <c r="I44" s="56">
        <v>27634</v>
      </c>
      <c r="J44" s="56">
        <v>29280</v>
      </c>
      <c r="K44" s="56">
        <v>29086</v>
      </c>
      <c r="L44" s="56">
        <v>29686</v>
      </c>
      <c r="M44" s="56">
        <v>33315</v>
      </c>
      <c r="N44" s="56">
        <v>36329</v>
      </c>
      <c r="O44" s="56">
        <v>37054.199999999997</v>
      </c>
      <c r="P44" s="56">
        <v>36224</v>
      </c>
      <c r="Q44" s="56">
        <v>34634</v>
      </c>
      <c r="R44" s="56">
        <v>33414</v>
      </c>
      <c r="S44" s="56">
        <v>30712.367923981135</v>
      </c>
      <c r="T44" s="56">
        <v>28772.546902504597</v>
      </c>
      <c r="U44" s="56">
        <v>26144.960793959744</v>
      </c>
      <c r="V44" s="56">
        <v>24596.445296769329</v>
      </c>
      <c r="W44" s="56">
        <v>23010.56673766562</v>
      </c>
      <c r="X44" s="56">
        <v>21971.652753999999</v>
      </c>
      <c r="Y44" s="56">
        <v>21248.686786999999</v>
      </c>
      <c r="Z44" s="56">
        <v>19353.14</v>
      </c>
      <c r="AA44" s="56">
        <v>17330.190000000002</v>
      </c>
      <c r="AB44" s="56">
        <v>16165.04</v>
      </c>
    </row>
    <row r="45" spans="1:28" ht="13.5">
      <c r="A45" s="168"/>
      <c r="B45" s="12"/>
      <c r="C45" s="12" t="s">
        <v>28</v>
      </c>
      <c r="D45" s="12"/>
      <c r="E45" s="12"/>
      <c r="F45" s="56">
        <v>178804</v>
      </c>
      <c r="G45" s="56">
        <v>186332</v>
      </c>
      <c r="H45" s="56">
        <v>190792</v>
      </c>
      <c r="I45" s="56">
        <v>196393</v>
      </c>
      <c r="J45" s="56">
        <v>202284</v>
      </c>
      <c r="K45" s="56">
        <v>250117</v>
      </c>
      <c r="L45" s="56">
        <v>253921</v>
      </c>
      <c r="M45" s="56">
        <v>260723</v>
      </c>
      <c r="N45" s="56">
        <v>270322.5</v>
      </c>
      <c r="O45" s="56">
        <v>282634.25</v>
      </c>
      <c r="P45" s="56">
        <v>294680</v>
      </c>
      <c r="Q45" s="56">
        <v>307230</v>
      </c>
      <c r="R45" s="56">
        <v>321341</v>
      </c>
      <c r="S45" s="56">
        <v>328345.09838267846</v>
      </c>
      <c r="T45" s="56">
        <v>329729.53441991273</v>
      </c>
      <c r="U45" s="56">
        <v>327652.52627763886</v>
      </c>
      <c r="V45" s="56">
        <v>321729.64456025121</v>
      </c>
      <c r="W45" s="56">
        <v>315515.12043908436</v>
      </c>
      <c r="X45" s="56">
        <v>313194.311728</v>
      </c>
      <c r="Y45" s="56">
        <v>310513.00611700001</v>
      </c>
      <c r="Z45" s="56">
        <v>307873.47200000001</v>
      </c>
      <c r="AA45" s="56">
        <v>304791.03712590784</v>
      </c>
      <c r="AB45" s="56">
        <v>297843.82996774302</v>
      </c>
    </row>
    <row r="46" spans="1:28" ht="13.5">
      <c r="A46" s="168"/>
      <c r="B46" s="12"/>
      <c r="C46" s="12" t="s">
        <v>29</v>
      </c>
      <c r="D46" s="12"/>
      <c r="E46" s="12"/>
      <c r="F46" s="56">
        <v>122892</v>
      </c>
      <c r="G46" s="56">
        <v>130938</v>
      </c>
      <c r="H46" s="56">
        <v>136773</v>
      </c>
      <c r="I46" s="56">
        <v>143011</v>
      </c>
      <c r="J46" s="56">
        <v>147399</v>
      </c>
      <c r="K46" s="56">
        <v>149971</v>
      </c>
      <c r="L46" s="56">
        <v>155027</v>
      </c>
      <c r="M46" s="56">
        <v>160311</v>
      </c>
      <c r="N46" s="56">
        <v>164054.5</v>
      </c>
      <c r="O46" s="56">
        <v>164708.46</v>
      </c>
      <c r="P46" s="56">
        <v>157077</v>
      </c>
      <c r="Q46" s="56">
        <v>158291</v>
      </c>
      <c r="R46" s="56">
        <v>161095</v>
      </c>
      <c r="S46" s="56">
        <v>163193.01433260427</v>
      </c>
      <c r="T46" s="56">
        <v>164864.3694354686</v>
      </c>
      <c r="U46" s="56">
        <v>164862.74894662405</v>
      </c>
      <c r="V46" s="56">
        <v>162860.27226699714</v>
      </c>
      <c r="W46" s="56">
        <v>156979.86801867589</v>
      </c>
      <c r="X46" s="56">
        <v>157237.88</v>
      </c>
      <c r="Y46" s="56">
        <v>157035.33000000002</v>
      </c>
      <c r="Z46" s="56">
        <v>156010.28</v>
      </c>
      <c r="AA46" s="56">
        <v>154815.1401927273</v>
      </c>
      <c r="AB46" s="56">
        <v>153305.70545814338</v>
      </c>
    </row>
    <row r="47" spans="1:28" ht="13.5">
      <c r="A47" s="168"/>
      <c r="B47" s="12"/>
      <c r="C47" s="12" t="s">
        <v>30</v>
      </c>
      <c r="D47" s="12"/>
      <c r="E47" s="12"/>
      <c r="F47" s="56">
        <v>208315</v>
      </c>
      <c r="G47" s="56">
        <v>209033</v>
      </c>
      <c r="H47" s="56">
        <v>198380</v>
      </c>
      <c r="I47" s="56">
        <v>194221</v>
      </c>
      <c r="J47" s="56">
        <v>189419</v>
      </c>
      <c r="K47" s="56">
        <v>190578.15</v>
      </c>
      <c r="L47" s="56">
        <v>194761.96</v>
      </c>
      <c r="M47" s="56">
        <v>209140</v>
      </c>
      <c r="N47" s="56">
        <v>220007.9</v>
      </c>
      <c r="O47" s="56">
        <v>226649.95</v>
      </c>
      <c r="P47" s="56">
        <v>232814</v>
      </c>
      <c r="Q47" s="56">
        <v>239399</v>
      </c>
      <c r="R47" s="56">
        <v>242396</v>
      </c>
      <c r="S47" s="56">
        <v>240634.64521353575</v>
      </c>
      <c r="T47" s="56">
        <v>238051.05786163185</v>
      </c>
      <c r="U47" s="56">
        <v>237269.80594329562</v>
      </c>
      <c r="V47" s="56">
        <v>235708.21444150494</v>
      </c>
      <c r="W47" s="56">
        <v>234168.47172388691</v>
      </c>
      <c r="X47" s="56">
        <v>232792.84424600002</v>
      </c>
      <c r="Y47" s="56">
        <v>233020.59080499999</v>
      </c>
      <c r="Z47" s="56">
        <v>227400.74800000002</v>
      </c>
      <c r="AA47" s="56">
        <v>223057.77837878789</v>
      </c>
      <c r="AB47" s="56">
        <v>213533.40922222217</v>
      </c>
    </row>
    <row r="48" spans="1:28" ht="13.5">
      <c r="A48" s="168"/>
      <c r="B48" s="12"/>
      <c r="C48" s="12" t="s">
        <v>31</v>
      </c>
      <c r="D48" s="12"/>
      <c r="E48" s="12"/>
      <c r="F48" s="63">
        <v>21608</v>
      </c>
      <c r="G48" s="63">
        <v>21862</v>
      </c>
      <c r="H48" s="63">
        <v>21883</v>
      </c>
      <c r="I48" s="63">
        <v>22244</v>
      </c>
      <c r="J48" s="63">
        <v>21845</v>
      </c>
      <c r="K48" s="63">
        <v>21826</v>
      </c>
      <c r="L48" s="63">
        <v>20679</v>
      </c>
      <c r="M48" s="63">
        <v>21318</v>
      </c>
      <c r="N48" s="63">
        <v>22179</v>
      </c>
      <c r="O48" s="63">
        <v>22702</v>
      </c>
      <c r="P48" s="63">
        <v>23456</v>
      </c>
      <c r="Q48" s="63">
        <v>24812</v>
      </c>
      <c r="R48" s="63">
        <v>25650</v>
      </c>
      <c r="S48" s="63">
        <v>26224</v>
      </c>
      <c r="T48" s="56">
        <v>26984</v>
      </c>
      <c r="U48" s="56">
        <v>27683</v>
      </c>
      <c r="V48" s="56">
        <v>28389</v>
      </c>
      <c r="W48" s="56">
        <v>28829</v>
      </c>
      <c r="X48" s="56">
        <v>29279</v>
      </c>
      <c r="Y48" s="56">
        <v>31364</v>
      </c>
      <c r="Z48" s="56">
        <v>32291</v>
      </c>
      <c r="AA48" s="56">
        <v>33440</v>
      </c>
      <c r="AB48" s="63">
        <v>28758.720000000001</v>
      </c>
    </row>
    <row r="49" spans="1:28" ht="11.25" customHeight="1">
      <c r="A49" s="168"/>
      <c r="B49" s="16" t="s">
        <v>129</v>
      </c>
      <c r="C49" s="16"/>
      <c r="D49" s="16"/>
      <c r="E49" s="16"/>
      <c r="F49" s="60">
        <v>1403900.26</v>
      </c>
      <c r="G49" s="60">
        <v>1492141</v>
      </c>
      <c r="H49" s="60">
        <v>1562579</v>
      </c>
      <c r="I49" s="60">
        <v>1598593</v>
      </c>
      <c r="J49" s="60">
        <v>1626050</v>
      </c>
      <c r="K49" s="60">
        <v>1612562.62</v>
      </c>
      <c r="L49" s="60">
        <v>1573086</v>
      </c>
      <c r="M49" s="60">
        <v>1570836</v>
      </c>
      <c r="N49" s="60">
        <v>1567389.1309999998</v>
      </c>
      <c r="O49" s="60">
        <v>1557588.0399999998</v>
      </c>
      <c r="P49" s="60">
        <v>1528563</v>
      </c>
      <c r="Q49" s="60">
        <v>1525654</v>
      </c>
      <c r="R49" s="60">
        <v>1536936</v>
      </c>
      <c r="S49" s="60">
        <v>1559276.6087285893</v>
      </c>
      <c r="T49" s="60">
        <v>1586605.039865345</v>
      </c>
      <c r="U49" s="60">
        <v>1582328.2066172732</v>
      </c>
      <c r="V49" s="60">
        <v>1539009.5711000815</v>
      </c>
      <c r="W49" s="60">
        <v>1508152.2808086716</v>
      </c>
      <c r="X49" s="60">
        <v>1503668.6604150003</v>
      </c>
      <c r="Y49" s="60">
        <v>1485757.2397480002</v>
      </c>
      <c r="Z49" s="60">
        <v>1477914.4996703379</v>
      </c>
      <c r="AA49" s="60">
        <v>1487979.8946325746</v>
      </c>
      <c r="AB49" s="60">
        <v>1478920.0712009689</v>
      </c>
    </row>
    <row r="50" spans="1:28" ht="13.5">
      <c r="A50" s="168"/>
      <c r="B50" s="12"/>
      <c r="C50" s="12" t="s">
        <v>21</v>
      </c>
      <c r="D50" s="12"/>
      <c r="E50" s="12"/>
      <c r="F50" s="56">
        <v>225058</v>
      </c>
      <c r="G50" s="56">
        <v>236594</v>
      </c>
      <c r="H50" s="56">
        <v>235370</v>
      </c>
      <c r="I50" s="56">
        <v>237732</v>
      </c>
      <c r="J50" s="56">
        <v>238257</v>
      </c>
      <c r="K50" s="56">
        <v>213450.2</v>
      </c>
      <c r="L50" s="56">
        <v>194723</v>
      </c>
      <c r="M50" s="56">
        <v>172622</v>
      </c>
      <c r="N50" s="56">
        <v>163721.53100000002</v>
      </c>
      <c r="O50" s="56">
        <v>159142.6</v>
      </c>
      <c r="P50" s="56">
        <v>155517</v>
      </c>
      <c r="Q50" s="56">
        <v>151807</v>
      </c>
      <c r="R50" s="56">
        <v>156656</v>
      </c>
      <c r="S50" s="56">
        <v>167149.49818759703</v>
      </c>
      <c r="T50" s="56">
        <v>218758.88847664811</v>
      </c>
      <c r="U50" s="56">
        <v>228202.56159708911</v>
      </c>
      <c r="V50" s="56">
        <v>199213.15368237253</v>
      </c>
      <c r="W50" s="56">
        <v>189984.70565788622</v>
      </c>
      <c r="X50" s="56">
        <v>183074.97856399999</v>
      </c>
      <c r="Y50" s="56">
        <v>177421.58550699998</v>
      </c>
      <c r="Z50" s="56">
        <v>202726.13596363936</v>
      </c>
      <c r="AA50" s="56">
        <v>234883.66953611132</v>
      </c>
      <c r="AB50" s="56">
        <v>274745.42520732596</v>
      </c>
    </row>
    <row r="51" spans="1:28" ht="13.5">
      <c r="A51" s="168"/>
      <c r="B51" s="12"/>
      <c r="C51" s="12"/>
      <c r="D51" s="12" t="s">
        <v>23</v>
      </c>
      <c r="E51" s="12"/>
      <c r="F51" s="56">
        <v>138132</v>
      </c>
      <c r="G51" s="56">
        <v>140324</v>
      </c>
      <c r="H51" s="56">
        <v>141601</v>
      </c>
      <c r="I51" s="56">
        <v>140561</v>
      </c>
      <c r="J51" s="56">
        <v>141251</v>
      </c>
      <c r="K51" s="56">
        <v>124788</v>
      </c>
      <c r="L51" s="56">
        <v>112140</v>
      </c>
      <c r="M51" s="56">
        <v>115340</v>
      </c>
      <c r="N51" s="56">
        <v>110499.531</v>
      </c>
      <c r="O51" s="56">
        <v>110351.6</v>
      </c>
      <c r="P51" s="56">
        <v>110267</v>
      </c>
      <c r="Q51" s="56">
        <v>108287</v>
      </c>
      <c r="R51" s="56">
        <v>113879</v>
      </c>
      <c r="S51" s="56">
        <v>130836.49818759701</v>
      </c>
      <c r="T51" s="56">
        <v>203931.88847664811</v>
      </c>
      <c r="U51" s="56">
        <v>214209.92159708915</v>
      </c>
      <c r="V51" s="56">
        <v>185468.10368237252</v>
      </c>
      <c r="W51" s="56">
        <v>176797.05125988624</v>
      </c>
      <c r="X51" s="56">
        <v>171081.43637299997</v>
      </c>
      <c r="Y51" s="56">
        <v>165385.71035499999</v>
      </c>
      <c r="Z51" s="56">
        <v>191035.29300000001</v>
      </c>
      <c r="AA51" s="56">
        <v>223212.27953611131</v>
      </c>
      <c r="AB51" s="56">
        <v>263250.53520732594</v>
      </c>
    </row>
    <row r="52" spans="1:28" ht="13.5">
      <c r="A52" s="168"/>
      <c r="B52" s="12"/>
      <c r="C52" s="12"/>
      <c r="D52" s="12" t="s">
        <v>24</v>
      </c>
      <c r="E52" s="12"/>
      <c r="F52" s="56">
        <v>86926</v>
      </c>
      <c r="G52" s="56">
        <v>96270</v>
      </c>
      <c r="H52" s="56">
        <v>93769</v>
      </c>
      <c r="I52" s="56">
        <v>97171</v>
      </c>
      <c r="J52" s="56">
        <v>97006</v>
      </c>
      <c r="K52" s="56">
        <v>88662.2</v>
      </c>
      <c r="L52" s="56">
        <v>82583</v>
      </c>
      <c r="M52" s="56">
        <v>57282</v>
      </c>
      <c r="N52" s="56">
        <v>53222</v>
      </c>
      <c r="O52" s="56">
        <v>48791</v>
      </c>
      <c r="P52" s="56">
        <v>45250</v>
      </c>
      <c r="Q52" s="56">
        <v>43520</v>
      </c>
      <c r="R52" s="56">
        <v>42777</v>
      </c>
      <c r="S52" s="56">
        <v>36313</v>
      </c>
      <c r="T52" s="56">
        <v>14827</v>
      </c>
      <c r="U52" s="56">
        <v>13992.64</v>
      </c>
      <c r="V52" s="56">
        <v>13745.05</v>
      </c>
      <c r="W52" s="56">
        <v>13187.654398000001</v>
      </c>
      <c r="X52" s="56">
        <v>11993.542191</v>
      </c>
      <c r="Y52" s="56">
        <v>12035.875152000001</v>
      </c>
      <c r="Z52" s="56">
        <v>11690.842963639343</v>
      </c>
      <c r="AA52" s="56">
        <v>11671.39</v>
      </c>
      <c r="AB52" s="56">
        <v>11494.89</v>
      </c>
    </row>
    <row r="53" spans="1:28" ht="13.5">
      <c r="A53" s="168"/>
      <c r="B53" s="12"/>
      <c r="C53" s="12" t="s">
        <v>25</v>
      </c>
      <c r="D53" s="12"/>
      <c r="E53" s="12"/>
      <c r="F53" s="56">
        <v>962</v>
      </c>
      <c r="G53" s="56">
        <v>927</v>
      </c>
      <c r="H53" s="56">
        <v>897</v>
      </c>
      <c r="I53" s="56">
        <v>888</v>
      </c>
      <c r="J53" s="56">
        <v>906</v>
      </c>
      <c r="K53" s="56">
        <v>848</v>
      </c>
      <c r="L53" s="56">
        <v>755</v>
      </c>
      <c r="M53" s="56">
        <v>773</v>
      </c>
      <c r="N53" s="56">
        <v>800</v>
      </c>
      <c r="O53" s="56">
        <v>748</v>
      </c>
      <c r="P53" s="56">
        <v>686</v>
      </c>
      <c r="Q53" s="56">
        <v>572</v>
      </c>
      <c r="R53" s="56">
        <v>480</v>
      </c>
      <c r="S53" s="56">
        <v>427</v>
      </c>
      <c r="T53" s="56">
        <v>297</v>
      </c>
      <c r="U53" s="56">
        <v>259.48</v>
      </c>
      <c r="V53" s="56">
        <v>92.96</v>
      </c>
      <c r="W53" s="56">
        <v>129.48572100000001</v>
      </c>
      <c r="X53" s="56">
        <v>98.588611999999998</v>
      </c>
      <c r="Y53" s="56">
        <v>66.233563000000004</v>
      </c>
      <c r="Z53" s="56">
        <v>31.50970669842247</v>
      </c>
      <c r="AA53" s="56">
        <v>0</v>
      </c>
      <c r="AB53" s="56">
        <v>32.58</v>
      </c>
    </row>
    <row r="54" spans="1:28" ht="13.5">
      <c r="A54" s="168"/>
      <c r="B54" s="12"/>
      <c r="C54" s="12" t="s">
        <v>26</v>
      </c>
      <c r="D54" s="12"/>
      <c r="E54" s="12"/>
      <c r="F54" s="56">
        <v>696367</v>
      </c>
      <c r="G54" s="56">
        <v>756516</v>
      </c>
      <c r="H54" s="56">
        <v>822454</v>
      </c>
      <c r="I54" s="56">
        <v>845626</v>
      </c>
      <c r="J54" s="56">
        <v>866429</v>
      </c>
      <c r="K54" s="56">
        <v>825652.93</v>
      </c>
      <c r="L54" s="56">
        <v>796836</v>
      </c>
      <c r="M54" s="56">
        <v>790094</v>
      </c>
      <c r="N54" s="56">
        <v>769430.8</v>
      </c>
      <c r="O54" s="56">
        <v>746725.33000000007</v>
      </c>
      <c r="P54" s="56">
        <v>709230</v>
      </c>
      <c r="Q54" s="56">
        <v>694497</v>
      </c>
      <c r="R54" s="56">
        <v>682432</v>
      </c>
      <c r="S54" s="56">
        <v>688715.8121568762</v>
      </c>
      <c r="T54" s="56">
        <v>671434.19785367139</v>
      </c>
      <c r="U54" s="56">
        <v>673023.42731801281</v>
      </c>
      <c r="V54" s="56">
        <v>671966.42244829948</v>
      </c>
      <c r="W54" s="56">
        <v>666653.91023456329</v>
      </c>
      <c r="X54" s="56">
        <v>669144.07363100001</v>
      </c>
      <c r="Y54" s="56">
        <v>660984.03150300006</v>
      </c>
      <c r="Z54" s="56">
        <v>636272.60499999998</v>
      </c>
      <c r="AA54" s="56">
        <v>622919.70433789468</v>
      </c>
      <c r="AB54" s="56">
        <v>592739.53095350415</v>
      </c>
    </row>
    <row r="55" spans="1:28" ht="13.5">
      <c r="A55" s="168"/>
      <c r="B55" s="12"/>
      <c r="C55" s="12" t="s">
        <v>27</v>
      </c>
      <c r="D55" s="12"/>
      <c r="E55" s="12"/>
      <c r="F55" s="56">
        <v>18878</v>
      </c>
      <c r="G55" s="56">
        <v>20809</v>
      </c>
      <c r="H55" s="56">
        <v>25514</v>
      </c>
      <c r="I55" s="56">
        <v>26833</v>
      </c>
      <c r="J55" s="56">
        <v>28374</v>
      </c>
      <c r="K55" s="56">
        <v>28203</v>
      </c>
      <c r="L55" s="56">
        <v>28711</v>
      </c>
      <c r="M55" s="56">
        <v>32195</v>
      </c>
      <c r="N55" s="56">
        <v>35200</v>
      </c>
      <c r="O55" s="56">
        <v>35929.199999999997</v>
      </c>
      <c r="P55" s="56">
        <v>35175</v>
      </c>
      <c r="Q55" s="56">
        <v>33606</v>
      </c>
      <c r="R55" s="56">
        <v>32467</v>
      </c>
      <c r="S55" s="56">
        <v>29860.367923981135</v>
      </c>
      <c r="T55" s="56">
        <v>28017.546902504597</v>
      </c>
      <c r="U55" s="56">
        <v>25437.960793959744</v>
      </c>
      <c r="V55" s="56">
        <v>23907.445296769329</v>
      </c>
      <c r="W55" s="56">
        <v>22416.56673766562</v>
      </c>
      <c r="X55" s="56">
        <v>21418.652753999999</v>
      </c>
      <c r="Y55" s="56">
        <v>20685.686786999999</v>
      </c>
      <c r="Z55" s="56">
        <v>18662.14</v>
      </c>
      <c r="AA55" s="56">
        <v>16945.190000000002</v>
      </c>
      <c r="AB55" s="56">
        <v>15813.04</v>
      </c>
    </row>
    <row r="56" spans="1:28" ht="13.5">
      <c r="A56" s="168"/>
      <c r="B56" s="12"/>
      <c r="C56" s="12" t="s">
        <v>28</v>
      </c>
      <c r="D56" s="12"/>
      <c r="E56" s="12"/>
      <c r="F56" s="56">
        <v>178804</v>
      </c>
      <c r="G56" s="56">
        <v>186332</v>
      </c>
      <c r="H56" s="56">
        <v>190792</v>
      </c>
      <c r="I56" s="56">
        <v>196393</v>
      </c>
      <c r="J56" s="56">
        <v>202284</v>
      </c>
      <c r="K56" s="56">
        <v>250117</v>
      </c>
      <c r="L56" s="56">
        <v>253921</v>
      </c>
      <c r="M56" s="56">
        <v>260723</v>
      </c>
      <c r="N56" s="56">
        <v>270322.5</v>
      </c>
      <c r="O56" s="56">
        <v>282634.25</v>
      </c>
      <c r="P56" s="56">
        <v>294680</v>
      </c>
      <c r="Q56" s="56">
        <v>307230</v>
      </c>
      <c r="R56" s="56">
        <v>321341</v>
      </c>
      <c r="S56" s="56">
        <v>328345.09838267846</v>
      </c>
      <c r="T56" s="56">
        <v>329729.53441991273</v>
      </c>
      <c r="U56" s="56">
        <v>327652.52627763886</v>
      </c>
      <c r="V56" s="56">
        <v>321729.64456025121</v>
      </c>
      <c r="W56" s="56">
        <v>315515.12043908436</v>
      </c>
      <c r="X56" s="56">
        <v>313194.311728</v>
      </c>
      <c r="Y56" s="56">
        <v>310513.00611700001</v>
      </c>
      <c r="Z56" s="56">
        <v>307873.47200000001</v>
      </c>
      <c r="AA56" s="56">
        <v>304791.03712590784</v>
      </c>
      <c r="AB56" s="56">
        <v>297843.82996774302</v>
      </c>
    </row>
    <row r="57" spans="1:28" ht="13.5">
      <c r="A57" s="168"/>
      <c r="B57" s="12"/>
      <c r="C57" s="12" t="s">
        <v>29</v>
      </c>
      <c r="D57" s="12"/>
      <c r="E57" s="12"/>
      <c r="F57" s="56">
        <v>99716</v>
      </c>
      <c r="G57" s="56">
        <v>106400</v>
      </c>
      <c r="H57" s="56">
        <v>110623</v>
      </c>
      <c r="I57" s="56">
        <v>116006</v>
      </c>
      <c r="J57" s="56">
        <v>119449</v>
      </c>
      <c r="K57" s="56">
        <v>122260</v>
      </c>
      <c r="L57" s="56">
        <v>124670</v>
      </c>
      <c r="M57" s="56">
        <v>128904</v>
      </c>
      <c r="N57" s="56">
        <v>131947.9</v>
      </c>
      <c r="O57" s="56">
        <v>132918.46</v>
      </c>
      <c r="P57" s="56">
        <v>125773</v>
      </c>
      <c r="Q57" s="56">
        <v>125393</v>
      </c>
      <c r="R57" s="56">
        <v>127692</v>
      </c>
      <c r="S57" s="56">
        <v>129283.64520399788</v>
      </c>
      <c r="T57" s="56">
        <v>125997.14411630701</v>
      </c>
      <c r="U57" s="56">
        <v>125065.74328684938</v>
      </c>
      <c r="V57" s="56">
        <v>122013.85659787479</v>
      </c>
      <c r="W57" s="56">
        <v>116573.5852430528</v>
      </c>
      <c r="X57" s="56">
        <v>118017.31</v>
      </c>
      <c r="Y57" s="56">
        <v>114987.33</v>
      </c>
      <c r="Z57" s="56">
        <v>114095.23</v>
      </c>
      <c r="AA57" s="56">
        <v>112627.29678417611</v>
      </c>
      <c r="AB57" s="56">
        <v>113441.6859061072</v>
      </c>
    </row>
    <row r="58" spans="1:28" ht="13.5">
      <c r="A58" s="168"/>
      <c r="B58" s="12"/>
      <c r="C58" s="12" t="s">
        <v>30</v>
      </c>
      <c r="D58" s="12"/>
      <c r="E58" s="12"/>
      <c r="F58" s="56">
        <v>163034.26</v>
      </c>
      <c r="G58" s="56">
        <v>163227</v>
      </c>
      <c r="H58" s="56">
        <v>155530</v>
      </c>
      <c r="I58" s="56">
        <v>153423</v>
      </c>
      <c r="J58" s="56">
        <v>148971</v>
      </c>
      <c r="K58" s="56">
        <v>150674.49</v>
      </c>
      <c r="L58" s="56">
        <v>153329</v>
      </c>
      <c r="M58" s="56">
        <v>164956</v>
      </c>
      <c r="N58" s="56">
        <v>174636.4</v>
      </c>
      <c r="O58" s="56">
        <v>177911.2</v>
      </c>
      <c r="P58" s="56">
        <v>185196</v>
      </c>
      <c r="Q58" s="56">
        <v>189123</v>
      </c>
      <c r="R58" s="56">
        <v>191289</v>
      </c>
      <c r="S58" s="56">
        <v>190355.18687345856</v>
      </c>
      <c r="T58" s="56">
        <v>186717.7280963012</v>
      </c>
      <c r="U58" s="56">
        <v>176359.50734372329</v>
      </c>
      <c r="V58" s="56">
        <v>172981.08851451424</v>
      </c>
      <c r="W58" s="56">
        <v>169423.90677541943</v>
      </c>
      <c r="X58" s="56">
        <v>170705.74512600002</v>
      </c>
      <c r="Y58" s="56">
        <v>170886.36627100001</v>
      </c>
      <c r="Z58" s="56">
        <v>166866.40700000001</v>
      </c>
      <c r="AA58" s="56">
        <v>163248.99684848485</v>
      </c>
      <c r="AB58" s="56">
        <v>156297.66916628831</v>
      </c>
    </row>
    <row r="59" spans="1:28" ht="13.5">
      <c r="A59" s="168"/>
      <c r="B59" s="13"/>
      <c r="C59" s="13" t="s">
        <v>31</v>
      </c>
      <c r="D59" s="13"/>
      <c r="E59" s="13"/>
      <c r="F59" s="56">
        <v>21081</v>
      </c>
      <c r="G59" s="56">
        <v>21336</v>
      </c>
      <c r="H59" s="56">
        <v>21399</v>
      </c>
      <c r="I59" s="56">
        <v>21692</v>
      </c>
      <c r="J59" s="56">
        <v>21380</v>
      </c>
      <c r="K59" s="56">
        <v>21357</v>
      </c>
      <c r="L59" s="56">
        <v>20141</v>
      </c>
      <c r="M59" s="56">
        <v>20569</v>
      </c>
      <c r="N59" s="56">
        <v>21330</v>
      </c>
      <c r="O59" s="56">
        <v>21579</v>
      </c>
      <c r="P59" s="56">
        <v>22306</v>
      </c>
      <c r="Q59" s="56">
        <v>23426</v>
      </c>
      <c r="R59" s="56">
        <v>24579</v>
      </c>
      <c r="S59" s="56">
        <v>25140</v>
      </c>
      <c r="T59" s="56">
        <v>25653</v>
      </c>
      <c r="U59" s="56">
        <v>26327</v>
      </c>
      <c r="V59" s="56">
        <v>27105</v>
      </c>
      <c r="W59" s="56">
        <v>27455</v>
      </c>
      <c r="X59" s="56">
        <v>28015</v>
      </c>
      <c r="Y59" s="56">
        <v>30213</v>
      </c>
      <c r="Z59" s="56">
        <v>31387</v>
      </c>
      <c r="AA59" s="56">
        <v>32564</v>
      </c>
      <c r="AB59" s="56">
        <v>28006.31</v>
      </c>
    </row>
    <row r="60" spans="1:28" ht="13.5">
      <c r="A60" s="168"/>
      <c r="B60" s="16" t="s">
        <v>130</v>
      </c>
      <c r="C60" s="16"/>
      <c r="D60" s="16"/>
      <c r="E60" s="16"/>
      <c r="F60" s="60">
        <v>1122141.74</v>
      </c>
      <c r="G60" s="60">
        <v>1102987</v>
      </c>
      <c r="H60" s="60">
        <v>1094809</v>
      </c>
      <c r="I60" s="60">
        <v>1083617</v>
      </c>
      <c r="J60" s="60">
        <v>1081686</v>
      </c>
      <c r="K60" s="60">
        <v>1089333.6299999999</v>
      </c>
      <c r="L60" s="60">
        <v>1117872.6399999999</v>
      </c>
      <c r="M60" s="60">
        <v>1105268</v>
      </c>
      <c r="N60" s="60">
        <v>1083434.6329999999</v>
      </c>
      <c r="O60" s="60">
        <v>1061569.2</v>
      </c>
      <c r="P60" s="60">
        <v>1048451</v>
      </c>
      <c r="Q60" s="60">
        <v>1034858</v>
      </c>
      <c r="R60" s="60">
        <v>1013653</v>
      </c>
      <c r="S60" s="60">
        <v>1000213.3552429595</v>
      </c>
      <c r="T60" s="60">
        <v>1014574.7538811465</v>
      </c>
      <c r="U60" s="60">
        <v>1014967.0261382801</v>
      </c>
      <c r="V60" s="60">
        <v>1029150.7398299272</v>
      </c>
      <c r="W60" s="60">
        <v>1035257.4802469797</v>
      </c>
      <c r="X60" s="60">
        <v>1012007.0045849999</v>
      </c>
      <c r="Y60" s="60">
        <v>994457.19225099997</v>
      </c>
      <c r="Z60" s="60">
        <v>981653.60600000003</v>
      </c>
      <c r="AA60" s="60">
        <v>979163.29906743311</v>
      </c>
      <c r="AB60" s="60">
        <v>973867.32779903407</v>
      </c>
    </row>
    <row r="61" spans="1:28" ht="13.5">
      <c r="A61" s="168"/>
      <c r="B61" s="12"/>
      <c r="C61" s="12" t="s">
        <v>21</v>
      </c>
      <c r="D61" s="12"/>
      <c r="E61" s="12"/>
      <c r="F61" s="56">
        <v>1034331</v>
      </c>
      <c r="G61" s="56">
        <v>1011574</v>
      </c>
      <c r="H61" s="56">
        <v>1002433</v>
      </c>
      <c r="I61" s="56">
        <v>992327</v>
      </c>
      <c r="J61" s="56">
        <v>990071</v>
      </c>
      <c r="K61" s="56">
        <v>998441.97</v>
      </c>
      <c r="L61" s="56">
        <v>1020604.6799999999</v>
      </c>
      <c r="M61" s="56">
        <v>1006806</v>
      </c>
      <c r="N61" s="56">
        <v>982939.73300000001</v>
      </c>
      <c r="O61" s="56">
        <v>957317.88</v>
      </c>
      <c r="P61" s="56">
        <v>943523</v>
      </c>
      <c r="Q61" s="56">
        <v>923927</v>
      </c>
      <c r="R61" s="56">
        <v>906876</v>
      </c>
      <c r="S61" s="56">
        <v>885079.52777427586</v>
      </c>
      <c r="T61" s="56">
        <v>892377.19879665447</v>
      </c>
      <c r="U61" s="56">
        <v>881592.52187893318</v>
      </c>
      <c r="V61" s="56">
        <v>891881.89823381405</v>
      </c>
      <c r="W61" s="56">
        <v>893870.01373388933</v>
      </c>
      <c r="X61" s="56">
        <v>873083.69039399992</v>
      </c>
      <c r="Y61" s="56">
        <v>850911.08319899999</v>
      </c>
      <c r="Z61" s="56">
        <v>837619.96500000008</v>
      </c>
      <c r="AA61" s="56">
        <v>835442.85050587682</v>
      </c>
      <c r="AB61" s="56">
        <v>834186.30310103414</v>
      </c>
    </row>
    <row r="62" spans="1:28" ht="13.5">
      <c r="A62" s="168"/>
      <c r="B62" s="12"/>
      <c r="C62" s="12"/>
      <c r="D62" s="12" t="s">
        <v>22</v>
      </c>
      <c r="E62" s="12"/>
      <c r="F62" s="56">
        <v>1020818</v>
      </c>
      <c r="G62" s="56">
        <v>1000071</v>
      </c>
      <c r="H62" s="56">
        <v>991815</v>
      </c>
      <c r="I62" s="56">
        <v>981494</v>
      </c>
      <c r="J62" s="56">
        <v>980085</v>
      </c>
      <c r="K62" s="56">
        <v>989010.97</v>
      </c>
      <c r="L62" s="56">
        <v>1011901.6799999999</v>
      </c>
      <c r="M62" s="56">
        <v>999299</v>
      </c>
      <c r="N62" s="56">
        <v>975731</v>
      </c>
      <c r="O62" s="56">
        <v>951927.88</v>
      </c>
      <c r="P62" s="56">
        <v>938659</v>
      </c>
      <c r="Q62" s="56">
        <v>919101</v>
      </c>
      <c r="R62" s="56">
        <v>902121</v>
      </c>
      <c r="S62" s="56">
        <v>880560.35555558885</v>
      </c>
      <c r="T62" s="56">
        <v>888374.42190832505</v>
      </c>
      <c r="U62" s="56">
        <v>876997.55251311639</v>
      </c>
      <c r="V62" s="56">
        <v>886631.29958774184</v>
      </c>
      <c r="W62" s="56">
        <v>888951.63817846077</v>
      </c>
      <c r="X62" s="56">
        <v>867347.11739399994</v>
      </c>
      <c r="Y62" s="56">
        <v>845271.21479899995</v>
      </c>
      <c r="Z62" s="56">
        <v>832510.44</v>
      </c>
      <c r="AA62" s="56">
        <v>830202.86361698795</v>
      </c>
      <c r="AB62" s="56">
        <v>828737.95773693162</v>
      </c>
    </row>
    <row r="63" spans="1:28" ht="13.5">
      <c r="A63" s="168"/>
      <c r="B63" s="12"/>
      <c r="C63" s="12"/>
      <c r="D63" s="12" t="s">
        <v>23</v>
      </c>
      <c r="E63" s="12"/>
      <c r="F63" s="56">
        <v>13513</v>
      </c>
      <c r="G63" s="56">
        <v>11503</v>
      </c>
      <c r="H63" s="56">
        <v>10618</v>
      </c>
      <c r="I63" s="56">
        <v>10833</v>
      </c>
      <c r="J63" s="56">
        <v>9986</v>
      </c>
      <c r="K63" s="56">
        <v>9431</v>
      </c>
      <c r="L63" s="56">
        <v>8703</v>
      </c>
      <c r="M63" s="56">
        <v>7507</v>
      </c>
      <c r="N63" s="56">
        <v>7208.7330000000002</v>
      </c>
      <c r="O63" s="56">
        <v>5390</v>
      </c>
      <c r="P63" s="56">
        <v>4864</v>
      </c>
      <c r="Q63" s="56">
        <v>4826</v>
      </c>
      <c r="R63" s="56">
        <v>4755</v>
      </c>
      <c r="S63" s="56">
        <v>4519.1722186869893</v>
      </c>
      <c r="T63" s="56">
        <v>4002.7768883293425</v>
      </c>
      <c r="U63" s="56">
        <v>4594.9693658167407</v>
      </c>
      <c r="V63" s="56">
        <v>5250.598646072227</v>
      </c>
      <c r="W63" s="56">
        <v>4918.375555428549</v>
      </c>
      <c r="X63" s="56">
        <v>5736.5730000000003</v>
      </c>
      <c r="Y63" s="56">
        <v>5639.8684000000003</v>
      </c>
      <c r="Z63" s="56">
        <v>5109.5249999999996</v>
      </c>
      <c r="AA63" s="56">
        <v>5239.9868888888886</v>
      </c>
      <c r="AB63" s="56">
        <v>5448.3453641025635</v>
      </c>
    </row>
    <row r="64" spans="1:28" ht="13.5">
      <c r="A64" s="168"/>
      <c r="B64" s="12"/>
      <c r="C64" s="12" t="s">
        <v>25</v>
      </c>
      <c r="D64" s="12"/>
      <c r="E64" s="12"/>
      <c r="F64" s="56">
        <v>0</v>
      </c>
      <c r="G64" s="56">
        <v>0</v>
      </c>
      <c r="H64" s="56">
        <v>0</v>
      </c>
      <c r="I64" s="56">
        <v>0</v>
      </c>
      <c r="J64" s="56">
        <v>0</v>
      </c>
      <c r="K64" s="56">
        <v>0</v>
      </c>
      <c r="L64" s="56">
        <v>0</v>
      </c>
      <c r="M64" s="56">
        <v>0</v>
      </c>
      <c r="N64" s="56">
        <v>0</v>
      </c>
      <c r="O64" s="56">
        <v>0</v>
      </c>
      <c r="P64" s="56">
        <v>0</v>
      </c>
      <c r="Q64" s="56">
        <v>0</v>
      </c>
      <c r="R64" s="56">
        <v>0</v>
      </c>
      <c r="S64" s="56">
        <v>0</v>
      </c>
      <c r="T64" s="56">
        <v>0</v>
      </c>
      <c r="U64" s="56">
        <v>0</v>
      </c>
      <c r="V64" s="56">
        <v>0</v>
      </c>
      <c r="W64" s="56">
        <v>0</v>
      </c>
      <c r="X64" s="56">
        <v>0</v>
      </c>
      <c r="Y64" s="56">
        <v>0</v>
      </c>
      <c r="Z64" s="56">
        <v>0</v>
      </c>
      <c r="AA64" s="56">
        <v>0</v>
      </c>
      <c r="AB64" s="56">
        <v>0</v>
      </c>
    </row>
    <row r="65" spans="1:28" ht="13.5">
      <c r="A65" s="168"/>
      <c r="B65" s="12"/>
      <c r="C65" s="12" t="s">
        <v>26</v>
      </c>
      <c r="D65" s="12"/>
      <c r="E65" s="12"/>
      <c r="F65" s="56">
        <v>18718</v>
      </c>
      <c r="G65" s="56">
        <v>20438</v>
      </c>
      <c r="H65" s="56">
        <v>22466</v>
      </c>
      <c r="I65" s="56">
        <v>22134</v>
      </c>
      <c r="J65" s="56">
        <v>21846</v>
      </c>
      <c r="K65" s="56">
        <v>21925</v>
      </c>
      <c r="L65" s="56">
        <v>23965</v>
      </c>
      <c r="M65" s="56">
        <v>21002</v>
      </c>
      <c r="N65" s="56">
        <v>21038.799999999999</v>
      </c>
      <c r="O65" s="56">
        <v>21474.57</v>
      </c>
      <c r="P65" s="56">
        <v>23807</v>
      </c>
      <c r="Q65" s="56">
        <v>25343</v>
      </c>
      <c r="R65" s="56">
        <v>20249</v>
      </c>
      <c r="S65" s="56">
        <v>29009</v>
      </c>
      <c r="T65" s="56">
        <v>29911</v>
      </c>
      <c r="U65" s="56">
        <v>30604.2</v>
      </c>
      <c r="V65" s="56">
        <v>31722.3</v>
      </c>
      <c r="W65" s="56">
        <v>34268.618789</v>
      </c>
      <c r="X65" s="56">
        <v>35798.645070999999</v>
      </c>
      <c r="Y65" s="56">
        <v>37649.884517999999</v>
      </c>
      <c r="Z65" s="56">
        <v>39989.25</v>
      </c>
      <c r="AA65" s="56">
        <v>40462.823622702039</v>
      </c>
      <c r="AB65" s="56">
        <v>41476.855090029858</v>
      </c>
    </row>
    <row r="66" spans="1:28" ht="13.5">
      <c r="A66" s="168"/>
      <c r="B66" s="12"/>
      <c r="C66" s="12" t="s">
        <v>27</v>
      </c>
      <c r="D66" s="12"/>
      <c r="E66" s="12"/>
      <c r="F66" s="56">
        <v>109</v>
      </c>
      <c r="G66" s="56">
        <v>105</v>
      </c>
      <c r="H66" s="56">
        <v>426</v>
      </c>
      <c r="I66" s="56">
        <v>801</v>
      </c>
      <c r="J66" s="56">
        <v>906</v>
      </c>
      <c r="K66" s="56">
        <v>883</v>
      </c>
      <c r="L66" s="56">
        <v>975</v>
      </c>
      <c r="M66" s="56">
        <v>1120</v>
      </c>
      <c r="N66" s="56">
        <v>1129</v>
      </c>
      <c r="O66" s="56">
        <v>1125</v>
      </c>
      <c r="P66" s="56">
        <v>1049</v>
      </c>
      <c r="Q66" s="56">
        <v>1028</v>
      </c>
      <c r="R66" s="56">
        <v>947</v>
      </c>
      <c r="S66" s="56">
        <v>852</v>
      </c>
      <c r="T66" s="56">
        <v>755</v>
      </c>
      <c r="U66" s="56">
        <v>707</v>
      </c>
      <c r="V66" s="56">
        <v>689</v>
      </c>
      <c r="W66" s="56">
        <v>594</v>
      </c>
      <c r="X66" s="56">
        <v>553</v>
      </c>
      <c r="Y66" s="56">
        <v>563</v>
      </c>
      <c r="Z66" s="56">
        <v>691</v>
      </c>
      <c r="AA66" s="56">
        <v>385</v>
      </c>
      <c r="AB66" s="56">
        <v>352</v>
      </c>
    </row>
    <row r="67" spans="1:28" ht="13.5">
      <c r="A67" s="168"/>
      <c r="B67" s="12"/>
      <c r="C67" s="12" t="s">
        <v>29</v>
      </c>
      <c r="D67" s="12"/>
      <c r="E67" s="12"/>
      <c r="F67" s="56">
        <v>23176</v>
      </c>
      <c r="G67" s="56">
        <v>24538</v>
      </c>
      <c r="H67" s="56">
        <v>26150</v>
      </c>
      <c r="I67" s="56">
        <v>27005</v>
      </c>
      <c r="J67" s="56">
        <v>27950</v>
      </c>
      <c r="K67" s="56">
        <v>27711</v>
      </c>
      <c r="L67" s="56">
        <v>30357</v>
      </c>
      <c r="M67" s="56">
        <v>31407</v>
      </c>
      <c r="N67" s="56">
        <v>32106.6</v>
      </c>
      <c r="O67" s="56">
        <v>31790</v>
      </c>
      <c r="P67" s="56">
        <v>31304</v>
      </c>
      <c r="Q67" s="56">
        <v>32898</v>
      </c>
      <c r="R67" s="56">
        <v>33403</v>
      </c>
      <c r="S67" s="56">
        <v>33909.369128606399</v>
      </c>
      <c r="T67" s="56">
        <v>38867.225319161582</v>
      </c>
      <c r="U67" s="56">
        <v>39797.005659774673</v>
      </c>
      <c r="V67" s="56">
        <v>40846.415669122332</v>
      </c>
      <c r="W67" s="56">
        <v>40406.282775623069</v>
      </c>
      <c r="X67" s="56">
        <v>39220.57</v>
      </c>
      <c r="Y67" s="56">
        <v>42048</v>
      </c>
      <c r="Z67" s="56">
        <v>41915.050000000003</v>
      </c>
      <c r="AA67" s="56">
        <v>42187.843408551176</v>
      </c>
      <c r="AB67" s="56">
        <v>39864.019552036174</v>
      </c>
    </row>
    <row r="68" spans="1:28" ht="13.5">
      <c r="A68" s="168"/>
      <c r="B68" s="12"/>
      <c r="C68" s="12" t="s">
        <v>30</v>
      </c>
      <c r="D68" s="12"/>
      <c r="E68" s="12"/>
      <c r="F68" s="56">
        <v>45280.74</v>
      </c>
      <c r="G68" s="56">
        <v>45806</v>
      </c>
      <c r="H68" s="56">
        <v>42850</v>
      </c>
      <c r="I68" s="56">
        <v>40798</v>
      </c>
      <c r="J68" s="56">
        <v>40448</v>
      </c>
      <c r="K68" s="56">
        <v>39903.660000000003</v>
      </c>
      <c r="L68" s="56">
        <v>41432.959999999999</v>
      </c>
      <c r="M68" s="56">
        <v>44184</v>
      </c>
      <c r="N68" s="56">
        <v>45371.5</v>
      </c>
      <c r="O68" s="56">
        <v>48738.75</v>
      </c>
      <c r="P68" s="56">
        <v>47618</v>
      </c>
      <c r="Q68" s="56">
        <v>50276</v>
      </c>
      <c r="R68" s="56">
        <v>51107</v>
      </c>
      <c r="S68" s="56">
        <v>50279.458340077195</v>
      </c>
      <c r="T68" s="56">
        <v>51333.329765330644</v>
      </c>
      <c r="U68" s="56">
        <v>60910.298599572321</v>
      </c>
      <c r="V68" s="56">
        <v>62727.125926990702</v>
      </c>
      <c r="W68" s="56">
        <v>64744.56494846748</v>
      </c>
      <c r="X68" s="56">
        <v>62087.099119999999</v>
      </c>
      <c r="Y68" s="56">
        <v>62134.224533999994</v>
      </c>
      <c r="Z68" s="56">
        <v>60534.341</v>
      </c>
      <c r="AA68" s="56">
        <v>59808.781530303037</v>
      </c>
      <c r="AB68" s="56">
        <v>57235.740055933857</v>
      </c>
    </row>
    <row r="69" spans="1:28" ht="13.5">
      <c r="A69" s="168"/>
      <c r="B69" s="13"/>
      <c r="C69" s="13" t="s">
        <v>31</v>
      </c>
      <c r="D69" s="13"/>
      <c r="E69" s="13"/>
      <c r="F69" s="56">
        <v>527</v>
      </c>
      <c r="G69" s="56">
        <v>526</v>
      </c>
      <c r="H69" s="56">
        <v>484</v>
      </c>
      <c r="I69" s="63">
        <v>552</v>
      </c>
      <c r="J69" s="63">
        <v>465</v>
      </c>
      <c r="K69" s="63">
        <v>469</v>
      </c>
      <c r="L69" s="63">
        <v>538</v>
      </c>
      <c r="M69" s="63">
        <v>749</v>
      </c>
      <c r="N69" s="63">
        <v>849</v>
      </c>
      <c r="O69" s="63">
        <v>1123</v>
      </c>
      <c r="P69" s="63">
        <v>1150</v>
      </c>
      <c r="Q69" s="63">
        <v>1386</v>
      </c>
      <c r="R69" s="63">
        <v>1071</v>
      </c>
      <c r="S69" s="63">
        <v>1084</v>
      </c>
      <c r="T69" s="56">
        <v>1331</v>
      </c>
      <c r="U69" s="56">
        <v>1356</v>
      </c>
      <c r="V69" s="63">
        <v>1284</v>
      </c>
      <c r="W69" s="63">
        <v>1374</v>
      </c>
      <c r="X69" s="63">
        <v>1264</v>
      </c>
      <c r="Y69" s="63">
        <v>1151</v>
      </c>
      <c r="Z69" s="63">
        <v>904</v>
      </c>
      <c r="AA69" s="63">
        <v>876</v>
      </c>
      <c r="AB69" s="63">
        <v>752.41</v>
      </c>
    </row>
    <row r="70" spans="1:28" ht="13.5">
      <c r="A70" s="168"/>
      <c r="B70" s="171" t="s">
        <v>33</v>
      </c>
      <c r="C70" s="171"/>
      <c r="D70" s="171"/>
      <c r="E70" s="17" t="s">
        <v>180</v>
      </c>
      <c r="F70" s="17"/>
      <c r="G70" s="17"/>
      <c r="H70" s="17"/>
      <c r="I70" s="17"/>
      <c r="J70" s="17"/>
      <c r="K70" s="17"/>
      <c r="L70" s="17"/>
      <c r="M70" s="17"/>
      <c r="N70" s="17"/>
      <c r="O70" s="17"/>
      <c r="P70" s="17"/>
      <c r="Q70" s="17"/>
      <c r="R70" s="17"/>
      <c r="S70" s="17"/>
      <c r="T70" s="17"/>
      <c r="U70" s="17"/>
      <c r="V70" s="3"/>
      <c r="W70" s="3"/>
      <c r="X70" s="3"/>
      <c r="Y70" s="3"/>
      <c r="Z70" s="3"/>
      <c r="AA70" s="3"/>
    </row>
    <row r="71" spans="1:28" ht="25.5" customHeight="1">
      <c r="A71" s="168"/>
      <c r="B71" s="140"/>
      <c r="C71" s="140"/>
      <c r="D71" s="140"/>
      <c r="E71" s="167" t="s">
        <v>200</v>
      </c>
      <c r="F71" s="167"/>
      <c r="G71" s="167"/>
      <c r="H71" s="167"/>
      <c r="I71" s="167"/>
      <c r="J71" s="167"/>
      <c r="K71" s="167"/>
      <c r="L71" s="167"/>
      <c r="M71" s="167"/>
      <c r="N71" s="167"/>
      <c r="O71" s="167"/>
      <c r="P71" s="167"/>
      <c r="Q71" s="167"/>
      <c r="R71" s="167"/>
      <c r="S71" s="167"/>
      <c r="T71" s="167"/>
      <c r="U71" s="167"/>
      <c r="V71" s="167"/>
      <c r="W71" s="167"/>
      <c r="X71" s="167"/>
      <c r="Y71" s="167"/>
      <c r="Z71" s="167"/>
      <c r="AA71" s="167"/>
      <c r="AB71" s="167"/>
    </row>
    <row r="72" spans="1:28">
      <c r="A72" s="168"/>
      <c r="E72" s="180" t="s">
        <v>189</v>
      </c>
      <c r="F72" s="180"/>
      <c r="G72" s="180"/>
      <c r="H72" s="180"/>
      <c r="I72" s="180"/>
      <c r="J72" s="180"/>
      <c r="K72" s="180"/>
      <c r="L72" s="180"/>
      <c r="M72" s="180"/>
      <c r="N72" s="180"/>
      <c r="O72" s="180"/>
      <c r="P72" s="180"/>
      <c r="Q72" s="180"/>
      <c r="R72" s="180"/>
      <c r="S72" s="180"/>
      <c r="T72" s="180"/>
      <c r="U72" s="140"/>
      <c r="V72" s="140"/>
      <c r="W72" s="140"/>
      <c r="X72" s="140"/>
      <c r="Y72" s="140"/>
      <c r="Z72" s="140"/>
      <c r="AA72" s="140"/>
      <c r="AB72" s="110"/>
    </row>
    <row r="73" spans="1:28">
      <c r="E73" s="178" t="s">
        <v>175</v>
      </c>
      <c r="F73" s="186"/>
      <c r="G73" s="186"/>
      <c r="H73" s="186"/>
      <c r="I73" s="186"/>
      <c r="J73" s="186"/>
      <c r="K73" s="187"/>
      <c r="L73" s="187"/>
      <c r="M73" s="187"/>
      <c r="N73" s="187"/>
      <c r="O73" s="187"/>
      <c r="P73" s="187"/>
      <c r="Q73" s="187"/>
      <c r="R73" s="187"/>
      <c r="S73" s="187"/>
      <c r="T73" s="187"/>
    </row>
  </sheetData>
  <mergeCells count="8">
    <mergeCell ref="E73:T73"/>
    <mergeCell ref="E71:AB71"/>
    <mergeCell ref="A1:A36"/>
    <mergeCell ref="A37:A72"/>
    <mergeCell ref="B1:E1"/>
    <mergeCell ref="B5:E5"/>
    <mergeCell ref="B70:D70"/>
    <mergeCell ref="E72:T72"/>
  </mergeCells>
  <hyperlinks>
    <hyperlink ref="E71:AB71" location="Leer!Druckbereich" display="Ab 2024 gelten für die Schularten des Sek-I-Bereichs neue Bezeichnungen bzw. Zusätze. Zudem kommt es bei den Hauptschulen, Schularten mit zwei Bildungsgängen und Schularten mit drei Bildungsgängen zu Neuzuordnungen." xr:uid="{6E470FA1-46CC-4E24-92B3-FEE0D5992CD7}"/>
  </hyperlinks>
  <printOptions verticalCentered="1"/>
  <pageMargins left="0.23622047244094491" right="0.23622047244094491" top="0.74803149606299213" bottom="0.74803149606299213" header="0.31496062992125984" footer="0.31496062992125984"/>
  <pageSetup paperSize="9" scale="90" orientation="landscape" r:id="rId1"/>
  <rowBreaks count="1" manualBreakCount="1">
    <brk id="36" max="21"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4"/>
  <dimension ref="A1:AB73"/>
  <sheetViews>
    <sheetView view="pageBreakPreview" topLeftCell="A4" zoomScale="140" zoomScaleNormal="120" zoomScaleSheetLayoutView="140" workbookViewId="0">
      <selection activeCell="J27" sqref="J27"/>
    </sheetView>
  </sheetViews>
  <sheetFormatPr baseColWidth="10" defaultColWidth="11.42578125" defaultRowHeight="12.75"/>
  <cols>
    <col min="1" max="1" width="2.7109375" style="3" customWidth="1"/>
    <col min="2" max="2" width="3.7109375" style="3" customWidth="1"/>
    <col min="3" max="4" width="2.7109375" style="3" customWidth="1"/>
    <col min="5" max="5" width="17.7109375" style="3" customWidth="1"/>
    <col min="6" max="22" width="6.7109375" style="3" customWidth="1"/>
    <col min="23" max="16384" width="11.42578125" style="3"/>
  </cols>
  <sheetData>
    <row r="1" spans="1:22">
      <c r="A1" s="168">
        <v>67</v>
      </c>
      <c r="B1" s="169" t="s">
        <v>0</v>
      </c>
      <c r="C1" s="169"/>
      <c r="D1" s="169"/>
      <c r="E1" s="169"/>
    </row>
    <row r="2" spans="1:22">
      <c r="A2" s="168"/>
      <c r="B2" s="4" t="s">
        <v>59</v>
      </c>
      <c r="C2" s="4"/>
      <c r="D2" s="4" t="s">
        <v>60</v>
      </c>
      <c r="E2" s="4"/>
    </row>
    <row r="3" spans="1:22">
      <c r="A3" s="168"/>
      <c r="B3" s="5" t="s">
        <v>61</v>
      </c>
      <c r="C3" s="4"/>
      <c r="D3" s="4" t="s">
        <v>186</v>
      </c>
      <c r="E3" s="4"/>
    </row>
    <row r="4" spans="1:22" ht="22.5" customHeight="1">
      <c r="A4" s="168"/>
    </row>
    <row r="5" spans="1:22" s="7" customFormat="1" ht="18.75" customHeight="1">
      <c r="A5" s="168"/>
      <c r="B5" s="170" t="s">
        <v>126</v>
      </c>
      <c r="C5" s="170"/>
      <c r="D5" s="170"/>
      <c r="E5" s="170"/>
      <c r="F5" s="18" t="s">
        <v>34</v>
      </c>
      <c r="G5" s="18" t="s">
        <v>35</v>
      </c>
      <c r="H5" s="18" t="s">
        <v>36</v>
      </c>
      <c r="I5" s="18" t="s">
        <v>37</v>
      </c>
      <c r="J5" s="18" t="s">
        <v>38</v>
      </c>
      <c r="K5" s="18" t="s">
        <v>39</v>
      </c>
      <c r="L5" s="18" t="s">
        <v>40</v>
      </c>
      <c r="M5" s="18" t="s">
        <v>41</v>
      </c>
      <c r="N5" s="18" t="s">
        <v>42</v>
      </c>
      <c r="O5" s="18" t="s">
        <v>43</v>
      </c>
      <c r="P5" s="18" t="s">
        <v>44</v>
      </c>
      <c r="Q5" s="18" t="s">
        <v>45</v>
      </c>
      <c r="R5" s="18" t="s">
        <v>46</v>
      </c>
      <c r="S5" s="18" t="s">
        <v>47</v>
      </c>
      <c r="T5" s="18" t="s">
        <v>48</v>
      </c>
      <c r="U5" s="18" t="s">
        <v>49</v>
      </c>
      <c r="V5" s="18" t="s">
        <v>50</v>
      </c>
    </row>
    <row r="6" spans="1:22">
      <c r="A6" s="168"/>
      <c r="B6" s="9" t="s">
        <v>120</v>
      </c>
      <c r="C6" s="9"/>
      <c r="D6" s="9"/>
      <c r="E6" s="16"/>
      <c r="F6" s="19">
        <v>2570820.65</v>
      </c>
      <c r="G6" s="19">
        <v>2510890</v>
      </c>
      <c r="H6" s="19">
        <v>826033</v>
      </c>
      <c r="I6" s="19">
        <v>516439.96999999991</v>
      </c>
      <c r="J6" s="19">
        <v>165010</v>
      </c>
      <c r="K6" s="19">
        <v>452125</v>
      </c>
      <c r="L6" s="19">
        <v>1445515</v>
      </c>
      <c r="M6" s="19">
        <v>314577.03399999999</v>
      </c>
      <c r="N6" s="19">
        <v>1758037.0650000025</v>
      </c>
      <c r="O6" s="19">
        <v>3971425</v>
      </c>
      <c r="P6" s="19">
        <v>907035</v>
      </c>
      <c r="Q6" s="19">
        <v>215772</v>
      </c>
      <c r="R6" s="19">
        <v>793625</v>
      </c>
      <c r="S6" s="19">
        <v>380411</v>
      </c>
      <c r="T6" s="19">
        <v>600881</v>
      </c>
      <c r="U6" s="19">
        <v>376268</v>
      </c>
      <c r="V6" s="19">
        <v>17804864.719000001</v>
      </c>
    </row>
    <row r="7" spans="1:22">
      <c r="A7" s="168"/>
      <c r="B7" s="10" t="s">
        <v>119</v>
      </c>
      <c r="C7" s="10"/>
      <c r="D7" s="10"/>
      <c r="E7" s="9"/>
      <c r="F7" s="20">
        <v>2096893.19</v>
      </c>
      <c r="G7" s="20">
        <v>2159559.23</v>
      </c>
      <c r="H7" s="20">
        <v>729974</v>
      </c>
      <c r="I7" s="20">
        <v>474528.89999999991</v>
      </c>
      <c r="J7" s="20">
        <v>138118</v>
      </c>
      <c r="K7" s="20">
        <v>411330</v>
      </c>
      <c r="L7" s="20">
        <v>1269153</v>
      </c>
      <c r="M7" s="20">
        <v>277983</v>
      </c>
      <c r="N7" s="20">
        <v>1518585</v>
      </c>
      <c r="O7" s="20">
        <v>3461029</v>
      </c>
      <c r="P7" s="20">
        <v>800734</v>
      </c>
      <c r="Q7" s="20">
        <v>182618</v>
      </c>
      <c r="R7" s="20">
        <v>665834</v>
      </c>
      <c r="S7" s="20">
        <v>336131</v>
      </c>
      <c r="T7" s="20">
        <v>510937</v>
      </c>
      <c r="U7" s="20">
        <v>318670</v>
      </c>
      <c r="V7" s="20">
        <v>15352077.319999998</v>
      </c>
    </row>
    <row r="8" spans="1:22">
      <c r="A8" s="168"/>
      <c r="B8" s="11" t="s">
        <v>3</v>
      </c>
      <c r="C8" s="11"/>
      <c r="D8" s="11"/>
      <c r="E8" s="11"/>
      <c r="F8" s="19">
        <v>296925.2</v>
      </c>
      <c r="G8" s="19">
        <v>199006.97999999998</v>
      </c>
      <c r="H8" s="19">
        <v>36645</v>
      </c>
      <c r="I8" s="19">
        <v>44400.62</v>
      </c>
      <c r="J8" s="19">
        <v>3252</v>
      </c>
      <c r="K8" s="19">
        <v>20683</v>
      </c>
      <c r="L8" s="19">
        <v>126017</v>
      </c>
      <c r="M8" s="19">
        <v>25545</v>
      </c>
      <c r="N8" s="19">
        <v>102348</v>
      </c>
      <c r="O8" s="19">
        <v>368998</v>
      </c>
      <c r="P8" s="19">
        <v>101346</v>
      </c>
      <c r="Q8" s="19">
        <v>19200</v>
      </c>
      <c r="R8" s="19">
        <v>68747</v>
      </c>
      <c r="S8" s="19">
        <v>41807</v>
      </c>
      <c r="T8" s="19">
        <v>30892</v>
      </c>
      <c r="U8" s="19">
        <v>21283</v>
      </c>
      <c r="V8" s="19">
        <v>1507095.7999999998</v>
      </c>
    </row>
    <row r="9" spans="1:22">
      <c r="A9" s="168"/>
      <c r="B9" s="12"/>
      <c r="C9" s="12" t="s">
        <v>4</v>
      </c>
      <c r="D9" s="12"/>
      <c r="E9" s="12"/>
      <c r="F9" s="21">
        <v>58968.55</v>
      </c>
      <c r="G9" s="21">
        <v>76694.73</v>
      </c>
      <c r="H9" s="21">
        <v>1993</v>
      </c>
      <c r="I9" s="21">
        <v>12748.37</v>
      </c>
      <c r="J9" s="21">
        <v>611</v>
      </c>
      <c r="K9" s="21">
        <v>4162.7296885210199</v>
      </c>
      <c r="L9" s="21">
        <v>45039</v>
      </c>
      <c r="M9" s="21">
        <v>9124</v>
      </c>
      <c r="N9" s="21">
        <v>9161</v>
      </c>
      <c r="O9" s="21">
        <v>73742</v>
      </c>
      <c r="P9" s="21">
        <v>26333</v>
      </c>
      <c r="Q9" s="21">
        <v>4350</v>
      </c>
      <c r="R9" s="21">
        <v>32656</v>
      </c>
      <c r="S9" s="21">
        <v>10934</v>
      </c>
      <c r="T9" s="21">
        <v>4510</v>
      </c>
      <c r="U9" s="21">
        <v>0</v>
      </c>
      <c r="V9" s="21">
        <v>371027.37968852103</v>
      </c>
    </row>
    <row r="10" spans="1:22">
      <c r="A10" s="168"/>
      <c r="B10" s="13"/>
      <c r="C10" s="13" t="s">
        <v>5</v>
      </c>
      <c r="D10" s="13"/>
      <c r="E10" s="13"/>
      <c r="F10" s="22">
        <v>237956.65</v>
      </c>
      <c r="G10" s="22">
        <v>122312.25</v>
      </c>
      <c r="H10" s="22">
        <v>34652</v>
      </c>
      <c r="I10" s="22">
        <v>31652.25</v>
      </c>
      <c r="J10" s="22">
        <v>2641</v>
      </c>
      <c r="K10" s="22">
        <v>16520.27031147898</v>
      </c>
      <c r="L10" s="22">
        <v>80978</v>
      </c>
      <c r="M10" s="22">
        <v>16421</v>
      </c>
      <c r="N10" s="22">
        <v>93187</v>
      </c>
      <c r="O10" s="22">
        <v>295256</v>
      </c>
      <c r="P10" s="22">
        <v>75013</v>
      </c>
      <c r="Q10" s="22">
        <v>14850</v>
      </c>
      <c r="R10" s="22">
        <v>36091</v>
      </c>
      <c r="S10" s="22">
        <v>30873</v>
      </c>
      <c r="T10" s="22">
        <v>26382</v>
      </c>
      <c r="U10" s="22">
        <v>0</v>
      </c>
      <c r="V10" s="22">
        <v>1114785.4203114789</v>
      </c>
    </row>
    <row r="11" spans="1:22" hidden="1">
      <c r="A11" s="168"/>
      <c r="B11" s="13"/>
      <c r="C11" s="13"/>
      <c r="D11" s="13"/>
      <c r="E11" s="13"/>
      <c r="F11" s="22"/>
      <c r="G11" s="22"/>
      <c r="H11" s="22"/>
      <c r="I11" s="22"/>
      <c r="J11" s="22"/>
      <c r="K11" s="22"/>
      <c r="L11" s="22"/>
      <c r="M11" s="22"/>
      <c r="N11" s="22"/>
      <c r="O11" s="22"/>
      <c r="P11" s="22"/>
      <c r="Q11" s="22"/>
      <c r="R11" s="22"/>
      <c r="S11" s="22"/>
      <c r="T11" s="22"/>
      <c r="U11" s="22"/>
      <c r="V11" s="22"/>
    </row>
    <row r="12" spans="1:22">
      <c r="A12" s="168"/>
      <c r="B12" s="11" t="s">
        <v>6</v>
      </c>
      <c r="C12" s="11"/>
      <c r="D12" s="11"/>
      <c r="E12" s="11"/>
      <c r="F12" s="19">
        <v>39130</v>
      </c>
      <c r="G12" s="19">
        <v>0</v>
      </c>
      <c r="H12" s="19">
        <v>0</v>
      </c>
      <c r="I12" s="19">
        <v>0</v>
      </c>
      <c r="J12" s="19">
        <v>31</v>
      </c>
      <c r="K12" s="19">
        <v>17495</v>
      </c>
      <c r="L12" s="19">
        <v>8483</v>
      </c>
      <c r="M12" s="19">
        <v>0</v>
      </c>
      <c r="N12" s="19">
        <v>4523</v>
      </c>
      <c r="O12" s="19">
        <v>4498</v>
      </c>
      <c r="P12" s="19">
        <v>120</v>
      </c>
      <c r="Q12" s="19">
        <v>76</v>
      </c>
      <c r="R12" s="19">
        <v>0</v>
      </c>
      <c r="S12" s="19">
        <v>0</v>
      </c>
      <c r="T12" s="19">
        <v>0</v>
      </c>
      <c r="U12" s="19">
        <v>0</v>
      </c>
      <c r="V12" s="19">
        <v>74356</v>
      </c>
    </row>
    <row r="13" spans="1:22">
      <c r="A13" s="168"/>
      <c r="B13" s="12"/>
      <c r="C13" s="12" t="s">
        <v>7</v>
      </c>
      <c r="D13" s="12"/>
      <c r="E13" s="12"/>
      <c r="F13" s="21">
        <v>0</v>
      </c>
      <c r="G13" s="21">
        <v>0</v>
      </c>
      <c r="H13" s="21">
        <v>0</v>
      </c>
      <c r="I13" s="21">
        <v>0</v>
      </c>
      <c r="J13" s="21">
        <v>31</v>
      </c>
      <c r="K13" s="21">
        <v>17495</v>
      </c>
      <c r="L13" s="21">
        <v>0</v>
      </c>
      <c r="M13" s="21">
        <v>0</v>
      </c>
      <c r="N13" s="21">
        <v>0</v>
      </c>
      <c r="O13" s="21">
        <v>0</v>
      </c>
      <c r="P13" s="21">
        <v>0</v>
      </c>
      <c r="Q13" s="21">
        <v>0</v>
      </c>
      <c r="R13" s="21">
        <v>0</v>
      </c>
      <c r="S13" s="21">
        <v>0</v>
      </c>
      <c r="T13" s="21">
        <v>0</v>
      </c>
      <c r="U13" s="21">
        <v>0</v>
      </c>
      <c r="V13" s="21">
        <v>17526</v>
      </c>
    </row>
    <row r="14" spans="1:22">
      <c r="A14" s="168"/>
      <c r="B14" s="13"/>
      <c r="C14" s="13" t="s">
        <v>8</v>
      </c>
      <c r="D14" s="13"/>
      <c r="E14" s="13"/>
      <c r="F14" s="22">
        <v>39130</v>
      </c>
      <c r="G14" s="22">
        <v>0</v>
      </c>
      <c r="H14" s="22">
        <v>0</v>
      </c>
      <c r="I14" s="22">
        <v>0</v>
      </c>
      <c r="J14" s="22">
        <v>0</v>
      </c>
      <c r="K14" s="22">
        <v>0</v>
      </c>
      <c r="L14" s="22">
        <v>8483</v>
      </c>
      <c r="M14" s="22">
        <v>0</v>
      </c>
      <c r="N14" s="22">
        <v>4523</v>
      </c>
      <c r="O14" s="22">
        <v>4498</v>
      </c>
      <c r="P14" s="22">
        <v>120</v>
      </c>
      <c r="Q14" s="22">
        <v>76</v>
      </c>
      <c r="R14" s="22">
        <v>0</v>
      </c>
      <c r="S14" s="22">
        <v>0</v>
      </c>
      <c r="T14" s="22">
        <v>0</v>
      </c>
      <c r="U14" s="22">
        <v>0</v>
      </c>
      <c r="V14" s="21">
        <v>56830</v>
      </c>
    </row>
    <row r="15" spans="1:22">
      <c r="A15" s="168"/>
      <c r="B15" s="11" t="s">
        <v>123</v>
      </c>
      <c r="C15" s="11"/>
      <c r="D15" s="11"/>
      <c r="E15" s="11"/>
      <c r="F15" s="19">
        <v>602732.89</v>
      </c>
      <c r="G15" s="19">
        <v>684655.14</v>
      </c>
      <c r="H15" s="19">
        <v>248664</v>
      </c>
      <c r="I15" s="19">
        <v>143166.72</v>
      </c>
      <c r="J15" s="19">
        <v>45049</v>
      </c>
      <c r="K15" s="19">
        <v>142028</v>
      </c>
      <c r="L15" s="19">
        <v>449835</v>
      </c>
      <c r="M15" s="19">
        <v>88453</v>
      </c>
      <c r="N15" s="19">
        <v>494921</v>
      </c>
      <c r="O15" s="19">
        <v>1121133</v>
      </c>
      <c r="P15" s="19">
        <v>265999</v>
      </c>
      <c r="Q15" s="19">
        <v>63593</v>
      </c>
      <c r="R15" s="19">
        <v>224431</v>
      </c>
      <c r="S15" s="19">
        <v>107643</v>
      </c>
      <c r="T15" s="19">
        <v>176941</v>
      </c>
      <c r="U15" s="19">
        <v>106684</v>
      </c>
      <c r="V15" s="24">
        <v>4965928.7499999991</v>
      </c>
    </row>
    <row r="16" spans="1:22">
      <c r="A16" s="168"/>
      <c r="B16" s="12"/>
      <c r="C16" s="12" t="s">
        <v>9</v>
      </c>
      <c r="D16" s="12"/>
      <c r="E16" s="12"/>
      <c r="F16" s="21">
        <v>514187.95</v>
      </c>
      <c r="G16" s="21">
        <v>680614.55</v>
      </c>
      <c r="H16" s="21">
        <v>222710</v>
      </c>
      <c r="I16" s="21">
        <v>140470.79999999999</v>
      </c>
      <c r="J16" s="21">
        <v>44670</v>
      </c>
      <c r="K16" s="21">
        <v>131078</v>
      </c>
      <c r="L16" s="21">
        <v>445466</v>
      </c>
      <c r="M16" s="21">
        <v>87881</v>
      </c>
      <c r="N16" s="21">
        <v>488314</v>
      </c>
      <c r="O16" s="21">
        <v>1113116</v>
      </c>
      <c r="P16" s="21">
        <v>264684</v>
      </c>
      <c r="Q16" s="21">
        <v>63001</v>
      </c>
      <c r="R16" s="21">
        <v>222324</v>
      </c>
      <c r="S16" s="21">
        <v>106977</v>
      </c>
      <c r="T16" s="21">
        <v>173980</v>
      </c>
      <c r="U16" s="21">
        <v>92761</v>
      </c>
      <c r="V16" s="21">
        <v>4792235.3</v>
      </c>
    </row>
    <row r="17" spans="1:22">
      <c r="A17" s="168"/>
      <c r="B17" s="12"/>
      <c r="C17" s="12" t="s">
        <v>187</v>
      </c>
      <c r="D17" s="12"/>
      <c r="E17" s="12"/>
      <c r="F17" s="21">
        <v>76381.600000000006</v>
      </c>
      <c r="G17" s="21">
        <v>0</v>
      </c>
      <c r="H17" s="21">
        <v>23871</v>
      </c>
      <c r="I17" s="21">
        <v>1783</v>
      </c>
      <c r="J17" s="21">
        <v>0</v>
      </c>
      <c r="K17" s="21">
        <v>9260</v>
      </c>
      <c r="L17" s="21">
        <v>0</v>
      </c>
      <c r="M17" s="21">
        <v>0</v>
      </c>
      <c r="N17" s="21">
        <v>2591</v>
      </c>
      <c r="O17" s="21">
        <v>2095</v>
      </c>
      <c r="P17" s="21">
        <v>0</v>
      </c>
      <c r="Q17" s="21">
        <v>0</v>
      </c>
      <c r="R17" s="21">
        <v>516</v>
      </c>
      <c r="S17" s="21">
        <v>0</v>
      </c>
      <c r="T17" s="21">
        <v>0</v>
      </c>
      <c r="U17" s="21">
        <v>13250</v>
      </c>
      <c r="V17" s="21">
        <v>129747.6</v>
      </c>
    </row>
    <row r="18" spans="1:22">
      <c r="A18" s="168"/>
      <c r="B18" s="13"/>
      <c r="C18" s="13" t="s">
        <v>11</v>
      </c>
      <c r="D18" s="13"/>
      <c r="E18" s="13"/>
      <c r="F18" s="22">
        <v>12163.34</v>
      </c>
      <c r="G18" s="22">
        <v>4040.59</v>
      </c>
      <c r="H18" s="22">
        <v>2083</v>
      </c>
      <c r="I18" s="22">
        <v>912.92</v>
      </c>
      <c r="J18" s="22">
        <v>379</v>
      </c>
      <c r="K18" s="22">
        <v>1690</v>
      </c>
      <c r="L18" s="22">
        <v>4369</v>
      </c>
      <c r="M18" s="22">
        <v>572</v>
      </c>
      <c r="N18" s="22">
        <v>4016</v>
      </c>
      <c r="O18" s="22">
        <v>5922</v>
      </c>
      <c r="P18" s="22">
        <v>1315</v>
      </c>
      <c r="Q18" s="22">
        <v>592</v>
      </c>
      <c r="R18" s="22">
        <v>1591</v>
      </c>
      <c r="S18" s="22">
        <v>666</v>
      </c>
      <c r="T18" s="22">
        <v>2961</v>
      </c>
      <c r="U18" s="22">
        <v>673</v>
      </c>
      <c r="V18" s="22">
        <v>43945.85</v>
      </c>
    </row>
    <row r="19" spans="1:22">
      <c r="A19" s="168"/>
      <c r="B19" s="11" t="s">
        <v>124</v>
      </c>
      <c r="C19" s="11"/>
      <c r="D19" s="11"/>
      <c r="E19" s="11"/>
      <c r="F19" s="19">
        <v>942109.80999999994</v>
      </c>
      <c r="G19" s="19">
        <v>1134694.97</v>
      </c>
      <c r="H19" s="19">
        <v>345032</v>
      </c>
      <c r="I19" s="19">
        <v>229435.83999999997</v>
      </c>
      <c r="J19" s="19">
        <v>73611</v>
      </c>
      <c r="K19" s="19">
        <v>178718</v>
      </c>
      <c r="L19" s="19">
        <v>556373</v>
      </c>
      <c r="M19" s="19">
        <v>129813</v>
      </c>
      <c r="N19" s="19">
        <v>765352</v>
      </c>
      <c r="O19" s="19">
        <v>1598044</v>
      </c>
      <c r="P19" s="19">
        <v>340317</v>
      </c>
      <c r="Q19" s="19">
        <v>78396</v>
      </c>
      <c r="R19" s="19">
        <v>300046</v>
      </c>
      <c r="S19" s="19">
        <v>152021</v>
      </c>
      <c r="T19" s="19">
        <v>254702</v>
      </c>
      <c r="U19" s="19">
        <v>155409</v>
      </c>
      <c r="V19" s="19">
        <v>7234074.6200000001</v>
      </c>
    </row>
    <row r="20" spans="1:22">
      <c r="A20" s="168"/>
      <c r="B20" s="12"/>
      <c r="C20" s="12" t="s">
        <v>12</v>
      </c>
      <c r="D20" s="12"/>
      <c r="E20" s="12"/>
      <c r="F20" s="21">
        <v>0</v>
      </c>
      <c r="G20" s="21">
        <v>986</v>
      </c>
      <c r="H20" s="21">
        <v>95227</v>
      </c>
      <c r="I20" s="21">
        <v>77009.399999999994</v>
      </c>
      <c r="J20" s="21">
        <v>0</v>
      </c>
      <c r="K20" s="21">
        <v>1240</v>
      </c>
      <c r="L20" s="21">
        <v>29750</v>
      </c>
      <c r="M20" s="21">
        <v>0</v>
      </c>
      <c r="N20" s="21">
        <v>0</v>
      </c>
      <c r="O20" s="21">
        <v>0</v>
      </c>
      <c r="P20" s="21">
        <v>0</v>
      </c>
      <c r="Q20" s="21">
        <v>0</v>
      </c>
      <c r="R20" s="21">
        <v>0</v>
      </c>
      <c r="S20" s="21">
        <v>0</v>
      </c>
      <c r="T20" s="21">
        <v>0</v>
      </c>
      <c r="U20" s="21">
        <v>0</v>
      </c>
      <c r="V20" s="21">
        <v>204212.4</v>
      </c>
    </row>
    <row r="21" spans="1:22">
      <c r="A21" s="168"/>
      <c r="B21" s="12"/>
      <c r="C21" s="12" t="s">
        <v>13</v>
      </c>
      <c r="D21" s="12"/>
      <c r="E21" s="12"/>
      <c r="F21" s="21">
        <v>84540.450000000012</v>
      </c>
      <c r="G21" s="21">
        <v>0</v>
      </c>
      <c r="H21" s="21">
        <v>0</v>
      </c>
      <c r="I21" s="21">
        <v>0</v>
      </c>
      <c r="J21" s="21">
        <v>0</v>
      </c>
      <c r="K21" s="21">
        <v>0</v>
      </c>
      <c r="L21" s="21">
        <v>47766</v>
      </c>
      <c r="M21" s="21">
        <v>0</v>
      </c>
      <c r="N21" s="21">
        <v>56406</v>
      </c>
      <c r="O21" s="21">
        <v>123387</v>
      </c>
      <c r="P21" s="21">
        <v>661</v>
      </c>
      <c r="Q21" s="21">
        <v>0</v>
      </c>
      <c r="R21" s="21">
        <v>0</v>
      </c>
      <c r="S21" s="21">
        <v>0</v>
      </c>
      <c r="T21" s="21">
        <v>0</v>
      </c>
      <c r="U21" s="21">
        <v>0</v>
      </c>
      <c r="V21" s="21">
        <v>312760.45</v>
      </c>
    </row>
    <row r="22" spans="1:22">
      <c r="A22" s="168"/>
      <c r="B22" s="12"/>
      <c r="C22" s="12" t="s">
        <v>188</v>
      </c>
      <c r="D22" s="12"/>
      <c r="E22" s="12"/>
      <c r="F22" s="21">
        <v>0</v>
      </c>
      <c r="G22" s="21">
        <v>400355.44999999995</v>
      </c>
      <c r="H22" s="21">
        <v>0</v>
      </c>
      <c r="I22" s="21">
        <v>71187.929999999993</v>
      </c>
      <c r="J22" s="21">
        <v>0</v>
      </c>
      <c r="K22" s="21">
        <v>0</v>
      </c>
      <c r="L22" s="21">
        <v>16040</v>
      </c>
      <c r="M22" s="21">
        <v>83259</v>
      </c>
      <c r="N22" s="21">
        <v>222054</v>
      </c>
      <c r="O22" s="21">
        <v>0</v>
      </c>
      <c r="P22" s="21">
        <v>148909</v>
      </c>
      <c r="Q22" s="21">
        <v>164</v>
      </c>
      <c r="R22" s="21">
        <v>180506</v>
      </c>
      <c r="S22" s="21">
        <v>63859</v>
      </c>
      <c r="T22" s="21">
        <v>0</v>
      </c>
      <c r="U22" s="21">
        <v>70083</v>
      </c>
      <c r="V22" s="21">
        <v>1256417.3799999999</v>
      </c>
    </row>
    <row r="23" spans="1:22">
      <c r="A23" s="168"/>
      <c r="B23" s="12"/>
      <c r="C23" s="12" t="s">
        <v>15</v>
      </c>
      <c r="D23" s="12"/>
      <c r="E23" s="12"/>
      <c r="F23" s="21">
        <v>332862.7</v>
      </c>
      <c r="G23" s="21">
        <v>350791.5</v>
      </c>
      <c r="H23" s="21">
        <v>0</v>
      </c>
      <c r="I23" s="21">
        <v>0</v>
      </c>
      <c r="J23" s="21">
        <v>0</v>
      </c>
      <c r="K23" s="21">
        <v>0</v>
      </c>
      <c r="L23" s="21">
        <v>103716</v>
      </c>
      <c r="M23" s="21">
        <v>0</v>
      </c>
      <c r="N23" s="21">
        <v>90935</v>
      </c>
      <c r="O23" s="21">
        <v>311511</v>
      </c>
      <c r="P23" s="21">
        <v>3847</v>
      </c>
      <c r="Q23" s="21">
        <v>1435</v>
      </c>
      <c r="R23" s="21">
        <v>0</v>
      </c>
      <c r="S23" s="21">
        <v>0</v>
      </c>
      <c r="T23" s="21">
        <v>0</v>
      </c>
      <c r="U23" s="21">
        <v>0</v>
      </c>
      <c r="V23" s="21">
        <v>1195098.2</v>
      </c>
    </row>
    <row r="24" spans="1:22">
      <c r="A24" s="168"/>
      <c r="B24" s="12"/>
      <c r="C24" s="12" t="s">
        <v>16</v>
      </c>
      <c r="D24" s="12"/>
      <c r="E24" s="12"/>
      <c r="F24" s="21">
        <v>300538.57</v>
      </c>
      <c r="G24" s="21"/>
      <c r="H24" s="21">
        <v>78137</v>
      </c>
      <c r="I24" s="21">
        <v>43202.75</v>
      </c>
      <c r="J24" s="21">
        <v>9996</v>
      </c>
      <c r="K24" s="21">
        <v>60712</v>
      </c>
      <c r="L24" s="21">
        <v>218357</v>
      </c>
      <c r="M24" s="21">
        <v>30796</v>
      </c>
      <c r="N24" s="21">
        <v>249181</v>
      </c>
      <c r="O24" s="21">
        <v>508464</v>
      </c>
      <c r="P24" s="21">
        <v>121189</v>
      </c>
      <c r="Q24" s="21">
        <v>22023</v>
      </c>
      <c r="R24" s="21">
        <v>113175</v>
      </c>
      <c r="S24" s="21">
        <v>51694</v>
      </c>
      <c r="T24" s="21">
        <v>78778</v>
      </c>
      <c r="U24" s="21">
        <v>46954</v>
      </c>
      <c r="V24" s="21">
        <v>2303909.98</v>
      </c>
    </row>
    <row r="25" spans="1:22">
      <c r="A25" s="168"/>
      <c r="B25" s="12"/>
      <c r="C25" s="12" t="s">
        <v>187</v>
      </c>
      <c r="D25" s="12"/>
      <c r="E25" s="12"/>
      <c r="F25" s="21">
        <v>201208.95999999999</v>
      </c>
      <c r="G25" s="21">
        <v>3362.0199999999995</v>
      </c>
      <c r="H25" s="21">
        <v>165479</v>
      </c>
      <c r="I25" s="21">
        <v>35610.65</v>
      </c>
      <c r="J25" s="21">
        <v>62136</v>
      </c>
      <c r="K25" s="21">
        <v>113136</v>
      </c>
      <c r="L25" s="21">
        <v>133263</v>
      </c>
      <c r="M25" s="21">
        <v>14734</v>
      </c>
      <c r="N25" s="21">
        <v>139862</v>
      </c>
      <c r="O25" s="21">
        <v>629859</v>
      </c>
      <c r="P25" s="21">
        <v>63139</v>
      </c>
      <c r="Q25" s="21">
        <v>53450</v>
      </c>
      <c r="R25" s="21">
        <v>2144</v>
      </c>
      <c r="S25" s="21">
        <v>35036</v>
      </c>
      <c r="T25" s="21">
        <v>171685</v>
      </c>
      <c r="U25" s="21">
        <v>36921</v>
      </c>
      <c r="V25" s="21">
        <v>1861025.63</v>
      </c>
    </row>
    <row r="26" spans="1:22">
      <c r="A26" s="168"/>
      <c r="B26" s="12"/>
      <c r="C26" s="12" t="s">
        <v>11</v>
      </c>
      <c r="D26" s="12"/>
      <c r="E26" s="12"/>
      <c r="F26" s="21">
        <v>21902.23</v>
      </c>
      <c r="G26" s="21">
        <v>8143.34</v>
      </c>
      <c r="H26" s="21">
        <v>4940</v>
      </c>
      <c r="I26" s="21">
        <v>1506.1100000000001</v>
      </c>
      <c r="J26" s="21">
        <v>804</v>
      </c>
      <c r="K26" s="21">
        <v>2768</v>
      </c>
      <c r="L26" s="21">
        <v>5093</v>
      </c>
      <c r="M26" s="21">
        <v>1024</v>
      </c>
      <c r="N26" s="21">
        <v>6914</v>
      </c>
      <c r="O26" s="21">
        <v>17797</v>
      </c>
      <c r="P26" s="21">
        <v>2572</v>
      </c>
      <c r="Q26" s="21">
        <v>1255</v>
      </c>
      <c r="R26" s="21">
        <v>3563</v>
      </c>
      <c r="S26" s="21">
        <v>1357</v>
      </c>
      <c r="T26" s="21">
        <v>4239</v>
      </c>
      <c r="U26" s="21">
        <v>1451</v>
      </c>
      <c r="V26" s="21">
        <v>85328.68</v>
      </c>
    </row>
    <row r="27" spans="1:22">
      <c r="A27" s="168"/>
      <c r="B27" s="12"/>
      <c r="C27" s="12" t="s">
        <v>17</v>
      </c>
      <c r="D27" s="12"/>
      <c r="E27" s="12"/>
      <c r="F27" s="21">
        <v>0</v>
      </c>
      <c r="G27" s="21">
        <v>0</v>
      </c>
      <c r="H27" s="21">
        <v>450</v>
      </c>
      <c r="I27" s="21">
        <v>0</v>
      </c>
      <c r="J27" s="21">
        <v>217</v>
      </c>
      <c r="K27" s="21">
        <v>0</v>
      </c>
      <c r="L27" s="21">
        <v>481</v>
      </c>
      <c r="M27" s="21">
        <v>0</v>
      </c>
      <c r="N27" s="21">
        <v>0</v>
      </c>
      <c r="O27" s="21">
        <v>0</v>
      </c>
      <c r="P27" s="21">
        <v>0</v>
      </c>
      <c r="Q27" s="21">
        <v>0</v>
      </c>
      <c r="R27" s="21">
        <v>0</v>
      </c>
      <c r="S27" s="21">
        <v>0</v>
      </c>
      <c r="T27" s="21">
        <v>0</v>
      </c>
      <c r="U27" s="21">
        <v>0</v>
      </c>
      <c r="V27" s="21">
        <v>1148</v>
      </c>
    </row>
    <row r="28" spans="1:22">
      <c r="A28" s="168"/>
      <c r="B28" s="13"/>
      <c r="C28" s="13" t="s">
        <v>18</v>
      </c>
      <c r="D28" s="13"/>
      <c r="E28" s="13"/>
      <c r="F28" s="22">
        <v>1056.9000000000001</v>
      </c>
      <c r="G28" s="22">
        <v>344</v>
      </c>
      <c r="H28" s="22">
        <v>799</v>
      </c>
      <c r="I28" s="22">
        <v>919</v>
      </c>
      <c r="J28" s="22">
        <v>458</v>
      </c>
      <c r="K28" s="22">
        <v>862</v>
      </c>
      <c r="L28" s="22">
        <v>1907</v>
      </c>
      <c r="M28" s="22">
        <v>0</v>
      </c>
      <c r="N28" s="22">
        <v>0</v>
      </c>
      <c r="O28" s="22">
        <v>7026</v>
      </c>
      <c r="P28" s="22">
        <v>0</v>
      </c>
      <c r="Q28" s="22">
        <v>69</v>
      </c>
      <c r="R28" s="22">
        <v>658</v>
      </c>
      <c r="S28" s="22">
        <v>75</v>
      </c>
      <c r="T28" s="22">
        <v>0</v>
      </c>
      <c r="U28" s="22">
        <v>0</v>
      </c>
      <c r="V28" s="21">
        <v>14173.9</v>
      </c>
    </row>
    <row r="29" spans="1:22">
      <c r="A29" s="168"/>
      <c r="B29" s="9" t="s">
        <v>125</v>
      </c>
      <c r="C29" s="9"/>
      <c r="D29" s="9"/>
      <c r="E29" s="9"/>
      <c r="F29" s="20">
        <v>689922.75</v>
      </c>
      <c r="G29" s="20">
        <v>492532.91</v>
      </c>
      <c r="H29" s="20">
        <v>195692</v>
      </c>
      <c r="I29" s="20">
        <v>99436.790000000008</v>
      </c>
      <c r="J29" s="20">
        <v>43067</v>
      </c>
      <c r="K29" s="20">
        <v>93201</v>
      </c>
      <c r="L29" s="20">
        <v>304807</v>
      </c>
      <c r="M29" s="20">
        <v>70766.034</v>
      </c>
      <c r="N29" s="20">
        <v>390893.06500000256</v>
      </c>
      <c r="O29" s="20">
        <v>878752</v>
      </c>
      <c r="P29" s="20">
        <v>199253</v>
      </c>
      <c r="Q29" s="20">
        <v>54507</v>
      </c>
      <c r="R29" s="20">
        <v>200401</v>
      </c>
      <c r="S29" s="20">
        <v>78940</v>
      </c>
      <c r="T29" s="20">
        <v>138346</v>
      </c>
      <c r="U29" s="20">
        <v>92892</v>
      </c>
      <c r="V29" s="20">
        <v>4023409.5490000034</v>
      </c>
    </row>
    <row r="30" spans="1:22" ht="25.5" customHeight="1">
      <c r="A30" s="168"/>
      <c r="B30" s="183" t="s">
        <v>132</v>
      </c>
      <c r="C30" s="183"/>
      <c r="D30" s="183"/>
      <c r="E30" s="183"/>
      <c r="F30" s="19">
        <v>215995.29</v>
      </c>
      <c r="G30" s="19">
        <v>141202.14000000001</v>
      </c>
      <c r="H30" s="19">
        <v>99633</v>
      </c>
      <c r="I30" s="19">
        <v>57525.72</v>
      </c>
      <c r="J30" s="19">
        <v>16175</v>
      </c>
      <c r="K30" s="19">
        <v>52406</v>
      </c>
      <c r="L30" s="19">
        <v>128445</v>
      </c>
      <c r="M30" s="19">
        <v>34172</v>
      </c>
      <c r="N30" s="19">
        <v>151441</v>
      </c>
      <c r="O30" s="19">
        <v>368356</v>
      </c>
      <c r="P30" s="19">
        <v>92952</v>
      </c>
      <c r="Q30" s="19">
        <v>21353</v>
      </c>
      <c r="R30" s="19">
        <v>72610</v>
      </c>
      <c r="S30" s="19">
        <v>34660</v>
      </c>
      <c r="T30" s="19">
        <v>48402</v>
      </c>
      <c r="U30" s="19">
        <v>35294</v>
      </c>
      <c r="V30" s="19">
        <v>1570622.1500000001</v>
      </c>
    </row>
    <row r="31" spans="1:22">
      <c r="A31" s="168"/>
      <c r="B31" s="12"/>
      <c r="C31" s="12" t="s">
        <v>112</v>
      </c>
      <c r="D31" s="12"/>
      <c r="E31" s="12"/>
      <c r="F31" s="21">
        <v>199787.93</v>
      </c>
      <c r="G31" s="21">
        <v>134679.34</v>
      </c>
      <c r="H31" s="21">
        <v>62709</v>
      </c>
      <c r="I31" s="21">
        <v>43091.5</v>
      </c>
      <c r="J31" s="21">
        <v>7375</v>
      </c>
      <c r="K31" s="21">
        <v>32065</v>
      </c>
      <c r="L31" s="21">
        <v>125214</v>
      </c>
      <c r="M31" s="21">
        <v>29500</v>
      </c>
      <c r="N31" s="21">
        <v>119475</v>
      </c>
      <c r="O31" s="21">
        <v>223865</v>
      </c>
      <c r="P31" s="21">
        <v>70231</v>
      </c>
      <c r="Q31" s="21">
        <v>15803</v>
      </c>
      <c r="R31" s="21">
        <v>69214</v>
      </c>
      <c r="S31" s="21">
        <v>31891</v>
      </c>
      <c r="T31" s="21">
        <v>30109</v>
      </c>
      <c r="U31" s="21">
        <v>30785</v>
      </c>
      <c r="V31" s="21">
        <v>1225794.77</v>
      </c>
    </row>
    <row r="32" spans="1:22">
      <c r="A32" s="168"/>
      <c r="B32" s="12"/>
      <c r="C32" s="12" t="s">
        <v>187</v>
      </c>
      <c r="D32" s="12"/>
      <c r="E32" s="12"/>
      <c r="F32" s="21">
        <v>4485.7299999999996</v>
      </c>
      <c r="G32" s="21">
        <v>201.98</v>
      </c>
      <c r="H32" s="21">
        <v>31618</v>
      </c>
      <c r="I32" s="21">
        <v>12898.64</v>
      </c>
      <c r="J32" s="21">
        <v>8048</v>
      </c>
      <c r="K32" s="21">
        <v>18657</v>
      </c>
      <c r="L32" s="21">
        <v>0</v>
      </c>
      <c r="M32" s="21">
        <v>3823</v>
      </c>
      <c r="N32" s="21">
        <v>26900</v>
      </c>
      <c r="O32" s="21">
        <v>131053</v>
      </c>
      <c r="P32" s="21">
        <v>20720</v>
      </c>
      <c r="Q32" s="21">
        <v>4836</v>
      </c>
      <c r="R32" s="21">
        <v>422</v>
      </c>
      <c r="S32" s="21">
        <v>1768</v>
      </c>
      <c r="T32" s="21">
        <v>16409</v>
      </c>
      <c r="U32" s="21">
        <v>3714</v>
      </c>
      <c r="V32" s="21">
        <v>285554.34999999998</v>
      </c>
    </row>
    <row r="33" spans="1:22">
      <c r="A33" s="168"/>
      <c r="B33" s="12"/>
      <c r="C33" s="12" t="s">
        <v>11</v>
      </c>
      <c r="D33" s="12"/>
      <c r="E33" s="12"/>
      <c r="F33" s="21">
        <v>8958.1299999999992</v>
      </c>
      <c r="G33" s="21">
        <v>3657.82</v>
      </c>
      <c r="H33" s="21">
        <v>2194</v>
      </c>
      <c r="I33" s="21">
        <v>738.58</v>
      </c>
      <c r="J33" s="21">
        <v>198</v>
      </c>
      <c r="K33" s="21">
        <v>804</v>
      </c>
      <c r="L33" s="21">
        <v>1426</v>
      </c>
      <c r="M33" s="21">
        <v>396</v>
      </c>
      <c r="N33" s="21">
        <v>3044</v>
      </c>
      <c r="O33" s="21">
        <v>2713</v>
      </c>
      <c r="P33" s="21">
        <v>961</v>
      </c>
      <c r="Q33" s="21">
        <v>428</v>
      </c>
      <c r="R33" s="21">
        <v>1094</v>
      </c>
      <c r="S33" s="21">
        <v>365</v>
      </c>
      <c r="T33" s="21">
        <v>1420</v>
      </c>
      <c r="U33" s="21">
        <v>632</v>
      </c>
      <c r="V33" s="21">
        <v>29029.53</v>
      </c>
    </row>
    <row r="34" spans="1:22">
      <c r="A34" s="168"/>
      <c r="B34" s="12"/>
      <c r="C34" s="12" t="s">
        <v>19</v>
      </c>
      <c r="D34" s="12"/>
      <c r="E34" s="12"/>
      <c r="F34" s="21">
        <v>2108.5</v>
      </c>
      <c r="G34" s="21">
        <v>756</v>
      </c>
      <c r="H34" s="21">
        <v>446</v>
      </c>
      <c r="I34" s="21">
        <v>361</v>
      </c>
      <c r="J34" s="21">
        <v>238</v>
      </c>
      <c r="K34" s="21">
        <v>619</v>
      </c>
      <c r="L34" s="21">
        <v>1152</v>
      </c>
      <c r="M34" s="21">
        <v>453</v>
      </c>
      <c r="N34" s="21">
        <v>913</v>
      </c>
      <c r="O34" s="21">
        <v>4887</v>
      </c>
      <c r="P34" s="21">
        <v>419</v>
      </c>
      <c r="Q34" s="21">
        <v>187</v>
      </c>
      <c r="R34" s="21">
        <v>457</v>
      </c>
      <c r="S34" s="21">
        <v>140</v>
      </c>
      <c r="T34" s="21">
        <v>464</v>
      </c>
      <c r="U34" s="21">
        <v>0</v>
      </c>
      <c r="V34" s="21">
        <v>13600.5</v>
      </c>
    </row>
    <row r="35" spans="1:22">
      <c r="A35" s="168"/>
      <c r="B35" s="14"/>
      <c r="C35" s="14" t="s">
        <v>20</v>
      </c>
      <c r="D35" s="14"/>
      <c r="E35" s="14"/>
      <c r="F35" s="22">
        <v>655</v>
      </c>
      <c r="G35" s="22">
        <v>1907</v>
      </c>
      <c r="H35" s="22">
        <v>2666</v>
      </c>
      <c r="I35" s="22">
        <v>436</v>
      </c>
      <c r="J35" s="22">
        <v>316</v>
      </c>
      <c r="K35" s="22">
        <v>261</v>
      </c>
      <c r="L35" s="22">
        <v>653</v>
      </c>
      <c r="M35" s="22">
        <v>0</v>
      </c>
      <c r="N35" s="22">
        <v>1109</v>
      </c>
      <c r="O35" s="22">
        <v>5838</v>
      </c>
      <c r="P35" s="22">
        <v>621</v>
      </c>
      <c r="Q35" s="22">
        <v>99</v>
      </c>
      <c r="R35" s="22">
        <v>1423</v>
      </c>
      <c r="S35" s="22">
        <v>496</v>
      </c>
      <c r="T35" s="22">
        <v>0</v>
      </c>
      <c r="U35" s="22">
        <v>163</v>
      </c>
      <c r="V35" s="22">
        <v>16643</v>
      </c>
    </row>
    <row r="36" spans="1:22" ht="19.5" customHeight="1">
      <c r="A36" s="168"/>
      <c r="B36" s="15"/>
      <c r="C36" s="15"/>
      <c r="D36" s="15"/>
      <c r="E36" s="15"/>
      <c r="F36" s="21"/>
      <c r="G36" s="21"/>
      <c r="H36" s="21"/>
      <c r="I36" s="21"/>
      <c r="J36" s="21"/>
      <c r="K36" s="21"/>
      <c r="L36" s="21"/>
      <c r="M36" s="21"/>
      <c r="N36" s="21"/>
      <c r="O36" s="21"/>
      <c r="P36" s="21"/>
      <c r="Q36" s="21"/>
      <c r="R36" s="21"/>
      <c r="S36" s="21"/>
      <c r="T36" s="21"/>
      <c r="U36" s="21"/>
      <c r="V36" s="21"/>
    </row>
    <row r="37" spans="1:22">
      <c r="A37" s="168">
        <v>68</v>
      </c>
      <c r="B37" s="11" t="s">
        <v>128</v>
      </c>
      <c r="C37" s="11"/>
      <c r="D37" s="11"/>
      <c r="E37" s="11"/>
      <c r="F37" s="19">
        <v>473927.46</v>
      </c>
      <c r="G37" s="19">
        <v>351330.76999999996</v>
      </c>
      <c r="H37" s="19">
        <v>96059</v>
      </c>
      <c r="I37" s="19">
        <v>41911.07</v>
      </c>
      <c r="J37" s="19">
        <v>26892</v>
      </c>
      <c r="K37" s="19">
        <v>40795</v>
      </c>
      <c r="L37" s="19">
        <v>176362</v>
      </c>
      <c r="M37" s="19">
        <v>36594.034</v>
      </c>
      <c r="N37" s="19">
        <v>239452.06500000256</v>
      </c>
      <c r="O37" s="19">
        <v>510396</v>
      </c>
      <c r="P37" s="19">
        <v>106301</v>
      </c>
      <c r="Q37" s="19">
        <v>33154</v>
      </c>
      <c r="R37" s="19">
        <v>127791</v>
      </c>
      <c r="S37" s="19">
        <v>44280</v>
      </c>
      <c r="T37" s="19">
        <v>89944</v>
      </c>
      <c r="U37" s="19">
        <v>57598</v>
      </c>
      <c r="V37" s="19">
        <v>2452787.399000003</v>
      </c>
    </row>
    <row r="38" spans="1:22">
      <c r="A38" s="168"/>
      <c r="B38" s="12"/>
      <c r="C38" s="12" t="s">
        <v>21</v>
      </c>
      <c r="D38" s="12"/>
      <c r="E38" s="12"/>
      <c r="F38" s="21">
        <v>178122.31</v>
      </c>
      <c r="G38" s="21">
        <v>173952.17</v>
      </c>
      <c r="H38" s="21">
        <v>46709</v>
      </c>
      <c r="I38" s="21">
        <v>19426.810000000001</v>
      </c>
      <c r="J38" s="21">
        <v>15713</v>
      </c>
      <c r="K38" s="21">
        <v>28648</v>
      </c>
      <c r="L38" s="21">
        <v>79166</v>
      </c>
      <c r="M38" s="21">
        <v>15555</v>
      </c>
      <c r="N38" s="21">
        <v>115747.43830836008</v>
      </c>
      <c r="O38" s="21">
        <v>223867</v>
      </c>
      <c r="P38" s="21">
        <v>48487</v>
      </c>
      <c r="Q38" s="21">
        <v>16498</v>
      </c>
      <c r="R38" s="21">
        <v>52595</v>
      </c>
      <c r="S38" s="21">
        <v>22548</v>
      </c>
      <c r="T38" s="21">
        <v>48165</v>
      </c>
      <c r="U38" s="21">
        <v>23732</v>
      </c>
      <c r="V38" s="21">
        <v>1108931.7283083601</v>
      </c>
    </row>
    <row r="39" spans="1:22">
      <c r="A39" s="168"/>
      <c r="B39" s="12"/>
      <c r="C39" s="12"/>
      <c r="D39" s="12" t="s">
        <v>22</v>
      </c>
      <c r="E39" s="12"/>
      <c r="F39" s="21">
        <v>117956.1</v>
      </c>
      <c r="G39" s="21">
        <v>134782.97</v>
      </c>
      <c r="H39" s="21">
        <v>29683</v>
      </c>
      <c r="I39" s="21">
        <v>19426.810000000001</v>
      </c>
      <c r="J39" s="21">
        <v>10727</v>
      </c>
      <c r="K39" s="21">
        <v>17823</v>
      </c>
      <c r="L39" s="21">
        <v>64968</v>
      </c>
      <c r="M39" s="21">
        <v>12309</v>
      </c>
      <c r="N39" s="21">
        <v>81470.077736931606</v>
      </c>
      <c r="O39" s="21">
        <v>179979</v>
      </c>
      <c r="P39" s="21">
        <v>37479</v>
      </c>
      <c r="Q39" s="21">
        <v>11447</v>
      </c>
      <c r="R39" s="21">
        <v>42519</v>
      </c>
      <c r="S39" s="21">
        <v>16211</v>
      </c>
      <c r="T39" s="21">
        <v>33292</v>
      </c>
      <c r="U39" s="21">
        <v>18665</v>
      </c>
      <c r="V39" s="21">
        <v>828737.95773693162</v>
      </c>
    </row>
    <row r="40" spans="1:22">
      <c r="A40" s="168"/>
      <c r="B40" s="12"/>
      <c r="C40" s="12"/>
      <c r="D40" s="12" t="s">
        <v>23</v>
      </c>
      <c r="E40" s="12"/>
      <c r="F40" s="21">
        <v>59099.7</v>
      </c>
      <c r="G40" s="21">
        <v>30653.82</v>
      </c>
      <c r="H40" s="21">
        <v>17026</v>
      </c>
      <c r="I40" s="21">
        <v>0</v>
      </c>
      <c r="J40" s="21">
        <v>4986</v>
      </c>
      <c r="K40" s="21">
        <v>10825</v>
      </c>
      <c r="L40" s="21">
        <v>14198</v>
      </c>
      <c r="M40" s="21">
        <v>3246</v>
      </c>
      <c r="N40" s="21">
        <v>34277.360571428479</v>
      </c>
      <c r="O40" s="21">
        <v>43888</v>
      </c>
      <c r="P40" s="21">
        <v>11008</v>
      </c>
      <c r="Q40" s="21">
        <v>5051</v>
      </c>
      <c r="R40" s="21">
        <v>8615</v>
      </c>
      <c r="S40" s="21">
        <v>6337</v>
      </c>
      <c r="T40" s="21">
        <v>14421</v>
      </c>
      <c r="U40" s="21">
        <v>5067</v>
      </c>
      <c r="V40" s="21">
        <v>268698.88057142851</v>
      </c>
    </row>
    <row r="41" spans="1:22">
      <c r="A41" s="168"/>
      <c r="B41" s="12"/>
      <c r="C41" s="12"/>
      <c r="D41" s="12" t="s">
        <v>24</v>
      </c>
      <c r="E41" s="12"/>
      <c r="F41" s="21">
        <v>1066.51</v>
      </c>
      <c r="G41" s="21">
        <v>8515.3799999999992</v>
      </c>
      <c r="H41" s="21">
        <v>0</v>
      </c>
      <c r="I41" s="21">
        <v>0</v>
      </c>
      <c r="J41" s="21">
        <v>0</v>
      </c>
      <c r="K41" s="21">
        <v>0</v>
      </c>
      <c r="L41" s="21">
        <v>0</v>
      </c>
      <c r="M41" s="21">
        <v>0</v>
      </c>
      <c r="N41" s="21">
        <v>0</v>
      </c>
      <c r="O41" s="21">
        <v>0</v>
      </c>
      <c r="P41" s="21">
        <v>0</v>
      </c>
      <c r="Q41" s="21">
        <v>0</v>
      </c>
      <c r="R41" s="21">
        <v>1461</v>
      </c>
      <c r="S41" s="21">
        <v>0</v>
      </c>
      <c r="T41" s="21">
        <v>452</v>
      </c>
      <c r="U41" s="21">
        <v>0</v>
      </c>
      <c r="V41" s="21">
        <v>11494.89</v>
      </c>
    </row>
    <row r="42" spans="1:22">
      <c r="A42" s="168"/>
      <c r="B42" s="12"/>
      <c r="C42" s="12" t="s">
        <v>25</v>
      </c>
      <c r="D42" s="12"/>
      <c r="E42" s="12"/>
      <c r="F42" s="21">
        <v>32.58</v>
      </c>
      <c r="G42" s="21">
        <v>0</v>
      </c>
      <c r="H42" s="21">
        <v>0</v>
      </c>
      <c r="I42" s="21">
        <v>0</v>
      </c>
      <c r="J42" s="21">
        <v>0</v>
      </c>
      <c r="K42" s="21">
        <v>0</v>
      </c>
      <c r="L42" s="21">
        <v>0</v>
      </c>
      <c r="M42" s="21">
        <v>0</v>
      </c>
      <c r="N42" s="21">
        <v>0</v>
      </c>
      <c r="O42" s="21">
        <v>0</v>
      </c>
      <c r="P42" s="21">
        <v>0</v>
      </c>
      <c r="Q42" s="21">
        <v>0</v>
      </c>
      <c r="R42" s="21">
        <v>0</v>
      </c>
      <c r="S42" s="21">
        <v>0</v>
      </c>
      <c r="T42" s="21">
        <v>0</v>
      </c>
      <c r="U42" s="21">
        <v>0</v>
      </c>
      <c r="V42" s="21">
        <v>32.58</v>
      </c>
    </row>
    <row r="43" spans="1:22">
      <c r="A43" s="168"/>
      <c r="B43" s="12"/>
      <c r="C43" s="12" t="s">
        <v>26</v>
      </c>
      <c r="D43" s="12"/>
      <c r="E43" s="12"/>
      <c r="F43" s="21">
        <v>162784.95000000001</v>
      </c>
      <c r="G43" s="21">
        <v>38180.630000000005</v>
      </c>
      <c r="H43" s="21">
        <v>21706</v>
      </c>
      <c r="I43" s="21">
        <v>6227.45</v>
      </c>
      <c r="J43" s="21">
        <v>5463</v>
      </c>
      <c r="K43" s="21">
        <v>6516</v>
      </c>
      <c r="L43" s="21">
        <v>33000</v>
      </c>
      <c r="M43" s="21">
        <v>14508</v>
      </c>
      <c r="N43" s="21">
        <v>62123.356043533924</v>
      </c>
      <c r="O43" s="21">
        <v>162160</v>
      </c>
      <c r="P43" s="21">
        <v>29324</v>
      </c>
      <c r="Q43" s="21">
        <v>6768</v>
      </c>
      <c r="R43" s="21">
        <v>35822</v>
      </c>
      <c r="S43" s="21">
        <v>10111</v>
      </c>
      <c r="T43" s="21">
        <v>19677</v>
      </c>
      <c r="U43" s="21">
        <v>19845</v>
      </c>
      <c r="V43" s="21">
        <v>634216.38604353403</v>
      </c>
    </row>
    <row r="44" spans="1:22">
      <c r="A44" s="168"/>
      <c r="B44" s="12"/>
      <c r="C44" s="12" t="s">
        <v>27</v>
      </c>
      <c r="D44" s="12"/>
      <c r="E44" s="12"/>
      <c r="F44" s="21">
        <v>1411.04</v>
      </c>
      <c r="G44" s="21">
        <v>11026</v>
      </c>
      <c r="H44" s="21">
        <v>820</v>
      </c>
      <c r="I44" s="21">
        <v>0</v>
      </c>
      <c r="J44" s="21">
        <v>140</v>
      </c>
      <c r="K44" s="21">
        <v>217</v>
      </c>
      <c r="L44" s="21">
        <v>0</v>
      </c>
      <c r="M44" s="21">
        <v>0</v>
      </c>
      <c r="N44" s="21">
        <v>31</v>
      </c>
      <c r="O44" s="21">
        <v>0</v>
      </c>
      <c r="P44" s="21">
        <v>1480</v>
      </c>
      <c r="Q44" s="21">
        <v>0</v>
      </c>
      <c r="R44" s="21">
        <v>0</v>
      </c>
      <c r="S44" s="21">
        <v>0</v>
      </c>
      <c r="T44" s="21">
        <v>1040</v>
      </c>
      <c r="U44" s="21">
        <v>0</v>
      </c>
      <c r="V44" s="21">
        <v>16165.04</v>
      </c>
    </row>
    <row r="45" spans="1:22">
      <c r="A45" s="168"/>
      <c r="B45" s="12"/>
      <c r="C45" s="12" t="s">
        <v>28</v>
      </c>
      <c r="D45" s="12"/>
      <c r="E45" s="12"/>
      <c r="F45" s="21">
        <v>105501.78</v>
      </c>
      <c r="G45" s="21">
        <v>0</v>
      </c>
      <c r="H45" s="21">
        <v>8817</v>
      </c>
      <c r="I45" s="21">
        <v>7240.24</v>
      </c>
      <c r="J45" s="21">
        <v>2118</v>
      </c>
      <c r="K45" s="21">
        <v>1344</v>
      </c>
      <c r="L45" s="21">
        <v>28019</v>
      </c>
      <c r="M45" s="21">
        <v>3869</v>
      </c>
      <c r="N45" s="21">
        <v>28406.809967743018</v>
      </c>
      <c r="O45" s="21">
        <v>57321</v>
      </c>
      <c r="P45" s="21">
        <v>14026</v>
      </c>
      <c r="Q45" s="21">
        <v>3022</v>
      </c>
      <c r="R45" s="21">
        <v>16376</v>
      </c>
      <c r="S45" s="21">
        <v>3556</v>
      </c>
      <c r="T45" s="21">
        <v>12343</v>
      </c>
      <c r="U45" s="21">
        <v>5884</v>
      </c>
      <c r="V45" s="21">
        <v>297843.82996774302</v>
      </c>
    </row>
    <row r="46" spans="1:22">
      <c r="A46" s="168"/>
      <c r="B46" s="12"/>
      <c r="C46" s="12" t="s">
        <v>29</v>
      </c>
      <c r="D46" s="12"/>
      <c r="E46" s="12"/>
      <c r="F46" s="21">
        <v>0</v>
      </c>
      <c r="G46" s="21">
        <v>72318</v>
      </c>
      <c r="H46" s="21">
        <v>4657</v>
      </c>
      <c r="I46" s="21">
        <v>2861.35</v>
      </c>
      <c r="J46" s="21">
        <v>1404</v>
      </c>
      <c r="K46" s="21">
        <v>358</v>
      </c>
      <c r="L46" s="21">
        <v>19221</v>
      </c>
      <c r="M46" s="21">
        <v>32</v>
      </c>
      <c r="N46" s="21">
        <v>14404.355458143373</v>
      </c>
      <c r="O46" s="21">
        <v>16647</v>
      </c>
      <c r="P46" s="21">
        <v>2586</v>
      </c>
      <c r="Q46" s="21">
        <v>4324</v>
      </c>
      <c r="R46" s="21">
        <v>8579</v>
      </c>
      <c r="S46" s="21">
        <v>2865</v>
      </c>
      <c r="T46" s="21">
        <v>723</v>
      </c>
      <c r="U46" s="21">
        <v>2326</v>
      </c>
      <c r="V46" s="21">
        <v>153305.70545814338</v>
      </c>
    </row>
    <row r="47" spans="1:22">
      <c r="A47" s="168"/>
      <c r="B47" s="12"/>
      <c r="C47" s="12" t="s">
        <v>30</v>
      </c>
      <c r="D47" s="12"/>
      <c r="E47" s="12"/>
      <c r="F47" s="21">
        <v>26074.799999999999</v>
      </c>
      <c r="G47" s="21">
        <v>27095.25</v>
      </c>
      <c r="H47" s="21">
        <v>13350</v>
      </c>
      <c r="I47" s="21">
        <v>6155.22</v>
      </c>
      <c r="J47" s="21">
        <v>2054</v>
      </c>
      <c r="K47" s="21">
        <v>3712</v>
      </c>
      <c r="L47" s="21">
        <v>16956</v>
      </c>
      <c r="M47" s="21">
        <v>2630.0340000000001</v>
      </c>
      <c r="N47" s="21">
        <v>18739.105222222166</v>
      </c>
      <c r="O47" s="21">
        <v>50401</v>
      </c>
      <c r="P47" s="21">
        <v>10398</v>
      </c>
      <c r="Q47" s="21">
        <v>2542</v>
      </c>
      <c r="R47" s="21">
        <v>14419</v>
      </c>
      <c r="S47" s="21">
        <v>5200</v>
      </c>
      <c r="T47" s="21">
        <v>7996</v>
      </c>
      <c r="U47" s="21">
        <v>5811</v>
      </c>
      <c r="V47" s="21">
        <v>213533.40922222217</v>
      </c>
    </row>
    <row r="48" spans="1:22">
      <c r="A48" s="168"/>
      <c r="B48" s="12"/>
      <c r="C48" s="12" t="s">
        <v>31</v>
      </c>
      <c r="D48" s="12"/>
      <c r="E48" s="12"/>
      <c r="F48" s="22">
        <v>0</v>
      </c>
      <c r="G48" s="22">
        <v>28758.720000000001</v>
      </c>
      <c r="H48" s="22">
        <v>0</v>
      </c>
      <c r="I48" s="22">
        <v>0</v>
      </c>
      <c r="J48" s="22">
        <v>0</v>
      </c>
      <c r="K48" s="22">
        <v>0</v>
      </c>
      <c r="L48" s="22">
        <v>0</v>
      </c>
      <c r="M48" s="22">
        <v>0</v>
      </c>
      <c r="N48" s="22">
        <v>0</v>
      </c>
      <c r="O48" s="22">
        <v>0</v>
      </c>
      <c r="P48" s="22">
        <v>0</v>
      </c>
      <c r="Q48" s="22">
        <v>0</v>
      </c>
      <c r="R48" s="22">
        <v>0</v>
      </c>
      <c r="S48" s="22">
        <v>0</v>
      </c>
      <c r="T48" s="22">
        <v>0</v>
      </c>
      <c r="U48" s="22">
        <v>0</v>
      </c>
      <c r="V48" s="22">
        <v>28758.720000000001</v>
      </c>
    </row>
    <row r="49" spans="1:22" ht="24" customHeight="1">
      <c r="A49" s="168"/>
      <c r="B49" s="183" t="s">
        <v>129</v>
      </c>
      <c r="C49" s="183"/>
      <c r="D49" s="183"/>
      <c r="E49" s="183"/>
      <c r="F49" s="23">
        <v>309764.06</v>
      </c>
      <c r="G49" s="23">
        <v>186753.55</v>
      </c>
      <c r="H49" s="23">
        <v>57407</v>
      </c>
      <c r="I49" s="23">
        <v>20154.419999999998</v>
      </c>
      <c r="J49" s="23">
        <v>14882</v>
      </c>
      <c r="K49" s="23">
        <v>21357</v>
      </c>
      <c r="L49" s="23">
        <v>108477</v>
      </c>
      <c r="M49" s="23">
        <v>22931.034</v>
      </c>
      <c r="N49" s="23">
        <v>148712.00720096851</v>
      </c>
      <c r="O49" s="23">
        <v>303646</v>
      </c>
      <c r="P49" s="23">
        <v>63474</v>
      </c>
      <c r="Q49" s="23">
        <v>21018</v>
      </c>
      <c r="R49" s="23">
        <v>81046</v>
      </c>
      <c r="S49" s="23">
        <v>26906</v>
      </c>
      <c r="T49" s="23">
        <v>54254</v>
      </c>
      <c r="U49" s="23">
        <v>38138</v>
      </c>
      <c r="V49" s="23">
        <v>1478920.0712009689</v>
      </c>
    </row>
    <row r="50" spans="1:22">
      <c r="A50" s="168"/>
      <c r="B50" s="12"/>
      <c r="C50" s="12" t="s">
        <v>21</v>
      </c>
      <c r="D50" s="12"/>
      <c r="E50" s="12"/>
      <c r="F50" s="21">
        <v>60166.21</v>
      </c>
      <c r="G50" s="21">
        <v>39169.199999999997</v>
      </c>
      <c r="H50" s="21">
        <v>15865</v>
      </c>
      <c r="I50" s="21">
        <v>0</v>
      </c>
      <c r="J50" s="21">
        <v>4351</v>
      </c>
      <c r="K50" s="21">
        <v>10352</v>
      </c>
      <c r="L50" s="21">
        <v>14198</v>
      </c>
      <c r="M50" s="21">
        <v>2246</v>
      </c>
      <c r="N50" s="21">
        <v>33965.015207325916</v>
      </c>
      <c r="O50" s="21">
        <v>43888</v>
      </c>
      <c r="P50" s="21">
        <v>11008</v>
      </c>
      <c r="Q50" s="21">
        <v>5051</v>
      </c>
      <c r="R50" s="21">
        <v>9393</v>
      </c>
      <c r="S50" s="21">
        <v>6337</v>
      </c>
      <c r="T50" s="21">
        <v>13689</v>
      </c>
      <c r="U50" s="21">
        <v>5067</v>
      </c>
      <c r="V50" s="21">
        <v>274745.42520732596</v>
      </c>
    </row>
    <row r="51" spans="1:22">
      <c r="A51" s="168"/>
      <c r="B51" s="12"/>
      <c r="C51" s="12"/>
      <c r="D51" s="12" t="s">
        <v>23</v>
      </c>
      <c r="E51" s="12"/>
      <c r="F51" s="21">
        <v>59099.7</v>
      </c>
      <c r="G51" s="21">
        <v>30653.82</v>
      </c>
      <c r="H51" s="21">
        <v>15865</v>
      </c>
      <c r="I51" s="21">
        <v>0</v>
      </c>
      <c r="J51" s="21">
        <v>4351</v>
      </c>
      <c r="K51" s="21">
        <v>10352</v>
      </c>
      <c r="L51" s="21">
        <v>14198</v>
      </c>
      <c r="M51" s="21">
        <v>2246</v>
      </c>
      <c r="N51" s="21">
        <v>33965.015207325916</v>
      </c>
      <c r="O51" s="21">
        <v>43888</v>
      </c>
      <c r="P51" s="21">
        <v>11008</v>
      </c>
      <c r="Q51" s="21">
        <v>5051</v>
      </c>
      <c r="R51" s="21">
        <v>7932</v>
      </c>
      <c r="S51" s="21">
        <v>6337</v>
      </c>
      <c r="T51" s="21">
        <v>13237</v>
      </c>
      <c r="U51" s="21">
        <v>5067</v>
      </c>
      <c r="V51" s="21">
        <v>263250.53520732594</v>
      </c>
    </row>
    <row r="52" spans="1:22">
      <c r="A52" s="168"/>
      <c r="B52" s="12"/>
      <c r="C52" s="12"/>
      <c r="D52" s="12" t="s">
        <v>24</v>
      </c>
      <c r="E52" s="12"/>
      <c r="F52" s="21">
        <v>1066.51</v>
      </c>
      <c r="G52" s="21">
        <v>8515.3799999999992</v>
      </c>
      <c r="H52" s="21">
        <v>0</v>
      </c>
      <c r="I52" s="21">
        <v>0</v>
      </c>
      <c r="J52" s="21">
        <v>0</v>
      </c>
      <c r="K52" s="21">
        <v>0</v>
      </c>
      <c r="L52" s="21">
        <v>0</v>
      </c>
      <c r="M52" s="21">
        <v>0</v>
      </c>
      <c r="N52" s="21">
        <v>0</v>
      </c>
      <c r="O52" s="21">
        <v>0</v>
      </c>
      <c r="P52" s="21">
        <v>0</v>
      </c>
      <c r="Q52" s="21">
        <v>0</v>
      </c>
      <c r="R52" s="21">
        <v>1461</v>
      </c>
      <c r="S52" s="21">
        <v>0</v>
      </c>
      <c r="T52" s="21">
        <v>452</v>
      </c>
      <c r="U52" s="21">
        <v>0</v>
      </c>
      <c r="V52" s="21">
        <v>11494.89</v>
      </c>
    </row>
    <row r="53" spans="1:22">
      <c r="A53" s="168"/>
      <c r="B53" s="12"/>
      <c r="C53" s="12" t="s">
        <v>25</v>
      </c>
      <c r="D53" s="12"/>
      <c r="E53" s="12"/>
      <c r="F53" s="21">
        <v>32.58</v>
      </c>
      <c r="G53" s="21">
        <v>0</v>
      </c>
      <c r="H53" s="21">
        <v>0</v>
      </c>
      <c r="I53" s="21">
        <v>0</v>
      </c>
      <c r="J53" s="21">
        <v>0</v>
      </c>
      <c r="K53" s="21">
        <v>0</v>
      </c>
      <c r="L53" s="21">
        <v>0</v>
      </c>
      <c r="M53" s="21">
        <v>0</v>
      </c>
      <c r="N53" s="21">
        <v>0</v>
      </c>
      <c r="O53" s="21">
        <v>0</v>
      </c>
      <c r="P53" s="21">
        <v>0</v>
      </c>
      <c r="Q53" s="21">
        <v>0</v>
      </c>
      <c r="R53" s="21">
        <v>0</v>
      </c>
      <c r="S53" s="21">
        <v>0</v>
      </c>
      <c r="T53" s="21">
        <v>0</v>
      </c>
      <c r="U53" s="21">
        <v>0</v>
      </c>
      <c r="V53" s="21">
        <v>32.58</v>
      </c>
    </row>
    <row r="54" spans="1:22">
      <c r="A54" s="168"/>
      <c r="B54" s="12"/>
      <c r="C54" s="12" t="s">
        <v>26</v>
      </c>
      <c r="D54" s="12"/>
      <c r="E54" s="12"/>
      <c r="F54" s="21">
        <v>124979.15</v>
      </c>
      <c r="G54" s="21">
        <v>37302.080000000002</v>
      </c>
      <c r="H54" s="21">
        <v>21706</v>
      </c>
      <c r="I54" s="21">
        <v>6227.45</v>
      </c>
      <c r="J54" s="21">
        <v>5418</v>
      </c>
      <c r="K54" s="21">
        <v>6434</v>
      </c>
      <c r="L54" s="21">
        <v>33000</v>
      </c>
      <c r="M54" s="21">
        <v>14445</v>
      </c>
      <c r="N54" s="21">
        <v>60907.850953504072</v>
      </c>
      <c r="O54" s="21">
        <v>162160</v>
      </c>
      <c r="P54" s="21">
        <v>29324</v>
      </c>
      <c r="Q54" s="21">
        <v>6768</v>
      </c>
      <c r="R54" s="21">
        <v>34684</v>
      </c>
      <c r="S54" s="21">
        <v>10083</v>
      </c>
      <c r="T54" s="21">
        <v>19677</v>
      </c>
      <c r="U54" s="21">
        <v>19624</v>
      </c>
      <c r="V54" s="21">
        <v>592739.53095350415</v>
      </c>
    </row>
    <row r="55" spans="1:22">
      <c r="A55" s="168"/>
      <c r="B55" s="12"/>
      <c r="C55" s="12" t="s">
        <v>27</v>
      </c>
      <c r="D55" s="12"/>
      <c r="E55" s="12"/>
      <c r="F55" s="21">
        <v>1411.04</v>
      </c>
      <c r="G55" s="21">
        <v>11007</v>
      </c>
      <c r="H55" s="21">
        <v>759</v>
      </c>
      <c r="I55" s="21">
        <v>0</v>
      </c>
      <c r="J55" s="21">
        <v>140</v>
      </c>
      <c r="K55" s="21">
        <v>217</v>
      </c>
      <c r="L55" s="21">
        <v>0</v>
      </c>
      <c r="M55" s="21">
        <v>0</v>
      </c>
      <c r="N55" s="21">
        <v>31</v>
      </c>
      <c r="O55" s="21">
        <v>0</v>
      </c>
      <c r="P55" s="21">
        <v>1208</v>
      </c>
      <c r="Q55" s="21">
        <v>0</v>
      </c>
      <c r="R55" s="21">
        <v>0</v>
      </c>
      <c r="S55" s="21">
        <v>0</v>
      </c>
      <c r="T55" s="21">
        <v>1040</v>
      </c>
      <c r="U55" s="21">
        <v>0</v>
      </c>
      <c r="V55" s="21">
        <v>15813.04</v>
      </c>
    </row>
    <row r="56" spans="1:22">
      <c r="A56" s="168"/>
      <c r="B56" s="12"/>
      <c r="C56" s="12" t="s">
        <v>28</v>
      </c>
      <c r="D56" s="12"/>
      <c r="E56" s="12"/>
      <c r="F56" s="21">
        <v>105501.78</v>
      </c>
      <c r="G56" s="21">
        <v>0</v>
      </c>
      <c r="H56" s="21">
        <v>8817</v>
      </c>
      <c r="I56" s="21">
        <v>7240.24</v>
      </c>
      <c r="J56" s="21">
        <v>2118</v>
      </c>
      <c r="K56" s="21">
        <v>1344</v>
      </c>
      <c r="L56" s="21">
        <v>28019</v>
      </c>
      <c r="M56" s="21">
        <v>3869</v>
      </c>
      <c r="N56" s="21">
        <v>28406.809967743018</v>
      </c>
      <c r="O56" s="21">
        <v>57321</v>
      </c>
      <c r="P56" s="21">
        <v>14026</v>
      </c>
      <c r="Q56" s="21">
        <v>3022</v>
      </c>
      <c r="R56" s="21">
        <v>16376</v>
      </c>
      <c r="S56" s="21">
        <v>3556</v>
      </c>
      <c r="T56" s="21">
        <v>12343</v>
      </c>
      <c r="U56" s="21">
        <v>5884</v>
      </c>
      <c r="V56" s="21">
        <v>297843.82996774302</v>
      </c>
    </row>
    <row r="57" spans="1:22">
      <c r="A57" s="168"/>
      <c r="B57" s="12"/>
      <c r="C57" s="12" t="s">
        <v>29</v>
      </c>
      <c r="D57" s="12"/>
      <c r="E57" s="12"/>
      <c r="F57" s="21">
        <v>0</v>
      </c>
      <c r="G57" s="21">
        <v>45832.29</v>
      </c>
      <c r="H57" s="21">
        <v>4542</v>
      </c>
      <c r="I57" s="21">
        <v>2861.35</v>
      </c>
      <c r="J57" s="21">
        <v>1208</v>
      </c>
      <c r="K57" s="21">
        <v>358</v>
      </c>
      <c r="L57" s="21">
        <v>19161</v>
      </c>
      <c r="M57" s="21">
        <v>32</v>
      </c>
      <c r="N57" s="21">
        <v>10454.045906107198</v>
      </c>
      <c r="O57" s="21">
        <v>7670</v>
      </c>
      <c r="P57" s="21">
        <v>2586</v>
      </c>
      <c r="Q57" s="21">
        <v>4278</v>
      </c>
      <c r="R57" s="21">
        <v>8579</v>
      </c>
      <c r="S57" s="21">
        <v>2865</v>
      </c>
      <c r="T57" s="21">
        <v>689</v>
      </c>
      <c r="U57" s="21">
        <v>2326</v>
      </c>
      <c r="V57" s="21">
        <v>113441.6859061072</v>
      </c>
    </row>
    <row r="58" spans="1:22">
      <c r="A58" s="168"/>
      <c r="B58" s="12"/>
      <c r="C58" s="12" t="s">
        <v>30</v>
      </c>
      <c r="D58" s="12"/>
      <c r="E58" s="12"/>
      <c r="F58" s="21">
        <v>17673.3</v>
      </c>
      <c r="G58" s="21">
        <v>25436.67</v>
      </c>
      <c r="H58" s="21">
        <v>5718</v>
      </c>
      <c r="I58" s="21">
        <v>3825.38</v>
      </c>
      <c r="J58" s="21">
        <v>1647</v>
      </c>
      <c r="K58" s="21">
        <v>2652</v>
      </c>
      <c r="L58" s="21">
        <v>14099</v>
      </c>
      <c r="M58" s="21">
        <v>2339.0340000000001</v>
      </c>
      <c r="N58" s="21">
        <v>14947.285166288309</v>
      </c>
      <c r="O58" s="21">
        <v>32607</v>
      </c>
      <c r="P58" s="21">
        <v>5322</v>
      </c>
      <c r="Q58" s="21">
        <v>1899</v>
      </c>
      <c r="R58" s="21">
        <v>12014</v>
      </c>
      <c r="S58" s="21">
        <v>4065</v>
      </c>
      <c r="T58" s="21">
        <v>6816</v>
      </c>
      <c r="U58" s="21">
        <v>5237</v>
      </c>
      <c r="V58" s="21">
        <v>156297.66916628831</v>
      </c>
    </row>
    <row r="59" spans="1:22">
      <c r="A59" s="168"/>
      <c r="B59" s="13"/>
      <c r="C59" s="13" t="s">
        <v>31</v>
      </c>
      <c r="D59" s="13"/>
      <c r="E59" s="13"/>
      <c r="F59" s="22">
        <v>0</v>
      </c>
      <c r="G59" s="22">
        <v>28006.31</v>
      </c>
      <c r="H59" s="22">
        <v>0</v>
      </c>
      <c r="I59" s="22">
        <v>0</v>
      </c>
      <c r="J59" s="22">
        <v>0</v>
      </c>
      <c r="K59" s="22">
        <v>0</v>
      </c>
      <c r="L59" s="22">
        <v>0</v>
      </c>
      <c r="M59" s="22">
        <v>0</v>
      </c>
      <c r="N59" s="22">
        <v>0</v>
      </c>
      <c r="O59" s="22">
        <v>0</v>
      </c>
      <c r="P59" s="22">
        <v>0</v>
      </c>
      <c r="Q59" s="22">
        <v>0</v>
      </c>
      <c r="R59" s="22">
        <v>0</v>
      </c>
      <c r="S59" s="22">
        <v>0</v>
      </c>
      <c r="T59" s="22">
        <v>0</v>
      </c>
      <c r="U59" s="22">
        <v>0</v>
      </c>
      <c r="V59" s="22">
        <v>28006.31</v>
      </c>
    </row>
    <row r="60" spans="1:22" ht="27" customHeight="1">
      <c r="A60" s="168"/>
      <c r="B60" s="183" t="s">
        <v>130</v>
      </c>
      <c r="C60" s="183"/>
      <c r="D60" s="183"/>
      <c r="E60" s="183"/>
      <c r="F60" s="23">
        <v>164163.40000000002</v>
      </c>
      <c r="G60" s="23">
        <v>164577.21999999997</v>
      </c>
      <c r="H60" s="23">
        <v>38652</v>
      </c>
      <c r="I60" s="23">
        <v>21756.65</v>
      </c>
      <c r="J60" s="23">
        <v>12010</v>
      </c>
      <c r="K60" s="23">
        <v>19438</v>
      </c>
      <c r="L60" s="23">
        <v>67885</v>
      </c>
      <c r="M60" s="23">
        <v>13663</v>
      </c>
      <c r="N60" s="23">
        <v>90740.057799034053</v>
      </c>
      <c r="O60" s="23">
        <v>206750</v>
      </c>
      <c r="P60" s="23">
        <v>42827</v>
      </c>
      <c r="Q60" s="23">
        <v>12136</v>
      </c>
      <c r="R60" s="23">
        <v>46745</v>
      </c>
      <c r="S60" s="23">
        <v>17374</v>
      </c>
      <c r="T60" s="23">
        <v>35690</v>
      </c>
      <c r="U60" s="23">
        <v>19460</v>
      </c>
      <c r="V60" s="23">
        <v>973867.32779903407</v>
      </c>
    </row>
    <row r="61" spans="1:22">
      <c r="A61" s="168"/>
      <c r="B61" s="12"/>
      <c r="C61" s="12" t="s">
        <v>21</v>
      </c>
      <c r="D61" s="12"/>
      <c r="E61" s="12"/>
      <c r="F61" s="21">
        <v>117956.1</v>
      </c>
      <c r="G61" s="21">
        <v>134782.97</v>
      </c>
      <c r="H61" s="21">
        <v>30844</v>
      </c>
      <c r="I61" s="21">
        <v>19426.810000000001</v>
      </c>
      <c r="J61" s="21">
        <v>11362</v>
      </c>
      <c r="K61" s="21">
        <v>18296</v>
      </c>
      <c r="L61" s="21">
        <v>64968</v>
      </c>
      <c r="M61" s="21">
        <v>13309</v>
      </c>
      <c r="N61" s="21">
        <v>81782.423101034175</v>
      </c>
      <c r="O61" s="21">
        <v>179979</v>
      </c>
      <c r="P61" s="21">
        <v>37479</v>
      </c>
      <c r="Q61" s="21">
        <v>11447</v>
      </c>
      <c r="R61" s="21">
        <v>43202</v>
      </c>
      <c r="S61" s="21">
        <v>16211</v>
      </c>
      <c r="T61" s="21">
        <v>34476</v>
      </c>
      <c r="U61" s="21">
        <v>18665</v>
      </c>
      <c r="V61" s="21">
        <v>834186.30310103414</v>
      </c>
    </row>
    <row r="62" spans="1:22">
      <c r="A62" s="168"/>
      <c r="B62" s="12"/>
      <c r="C62" s="12"/>
      <c r="D62" s="12" t="s">
        <v>22</v>
      </c>
      <c r="E62" s="12"/>
      <c r="F62" s="21">
        <v>117956.1</v>
      </c>
      <c r="G62" s="21">
        <v>134782.97</v>
      </c>
      <c r="H62" s="21">
        <v>29683</v>
      </c>
      <c r="I62" s="21">
        <v>19426.810000000001</v>
      </c>
      <c r="J62" s="21">
        <v>10727</v>
      </c>
      <c r="K62" s="21">
        <v>17823</v>
      </c>
      <c r="L62" s="21">
        <v>64968</v>
      </c>
      <c r="M62" s="21">
        <v>12309</v>
      </c>
      <c r="N62" s="21">
        <v>81470.077736931606</v>
      </c>
      <c r="O62" s="21">
        <v>179979</v>
      </c>
      <c r="P62" s="21">
        <v>37479</v>
      </c>
      <c r="Q62" s="21">
        <v>11447</v>
      </c>
      <c r="R62" s="21">
        <v>42519</v>
      </c>
      <c r="S62" s="21">
        <v>16211</v>
      </c>
      <c r="T62" s="21">
        <v>33292</v>
      </c>
      <c r="U62" s="21">
        <v>18665</v>
      </c>
      <c r="V62" s="21">
        <v>828737.95773693162</v>
      </c>
    </row>
    <row r="63" spans="1:22">
      <c r="A63" s="168"/>
      <c r="B63" s="12"/>
      <c r="C63" s="12"/>
      <c r="D63" s="12" t="s">
        <v>23</v>
      </c>
      <c r="E63" s="12"/>
      <c r="F63" s="21">
        <v>0</v>
      </c>
      <c r="G63" s="21">
        <v>0</v>
      </c>
      <c r="H63" s="21">
        <v>1161</v>
      </c>
      <c r="I63" s="21">
        <v>0</v>
      </c>
      <c r="J63" s="21">
        <v>635</v>
      </c>
      <c r="K63" s="21">
        <v>473</v>
      </c>
      <c r="L63" s="21">
        <v>0</v>
      </c>
      <c r="M63" s="21">
        <v>1000</v>
      </c>
      <c r="N63" s="21">
        <v>312.34536410256362</v>
      </c>
      <c r="O63" s="21">
        <v>0</v>
      </c>
      <c r="P63" s="21">
        <v>0</v>
      </c>
      <c r="Q63" s="21">
        <v>0</v>
      </c>
      <c r="R63" s="21">
        <v>683</v>
      </c>
      <c r="S63" s="21">
        <v>0</v>
      </c>
      <c r="T63" s="21">
        <v>1184</v>
      </c>
      <c r="U63" s="21">
        <v>0</v>
      </c>
      <c r="V63" s="21">
        <v>5448.3453641025635</v>
      </c>
    </row>
    <row r="64" spans="1:22">
      <c r="A64" s="168"/>
      <c r="B64" s="12"/>
      <c r="C64" s="12" t="s">
        <v>25</v>
      </c>
      <c r="D64" s="12"/>
      <c r="E64" s="12"/>
      <c r="F64" s="21">
        <v>0</v>
      </c>
      <c r="G64" s="21">
        <v>0</v>
      </c>
      <c r="H64" s="21">
        <v>0</v>
      </c>
      <c r="I64" s="21">
        <v>0</v>
      </c>
      <c r="J64" s="21">
        <v>0</v>
      </c>
      <c r="K64" s="21">
        <v>0</v>
      </c>
      <c r="L64" s="21">
        <v>0</v>
      </c>
      <c r="M64" s="21">
        <v>0</v>
      </c>
      <c r="N64" s="21">
        <v>0</v>
      </c>
      <c r="O64" s="21">
        <v>0</v>
      </c>
      <c r="P64" s="21">
        <v>0</v>
      </c>
      <c r="Q64" s="21">
        <v>0</v>
      </c>
      <c r="R64" s="21">
        <v>0</v>
      </c>
      <c r="S64" s="21">
        <v>0</v>
      </c>
      <c r="T64" s="21">
        <v>0</v>
      </c>
      <c r="U64" s="21">
        <v>0</v>
      </c>
      <c r="V64" s="21">
        <v>0</v>
      </c>
    </row>
    <row r="65" spans="1:28">
      <c r="A65" s="168"/>
      <c r="B65" s="12"/>
      <c r="C65" s="12" t="s">
        <v>26</v>
      </c>
      <c r="D65" s="12"/>
      <c r="E65" s="12"/>
      <c r="F65" s="21">
        <v>37805.800000000003</v>
      </c>
      <c r="G65" s="21">
        <v>878.55</v>
      </c>
      <c r="H65" s="21">
        <v>0</v>
      </c>
      <c r="I65" s="21">
        <v>0</v>
      </c>
      <c r="J65" s="21">
        <v>45</v>
      </c>
      <c r="K65" s="21">
        <v>82</v>
      </c>
      <c r="L65" s="21">
        <v>0</v>
      </c>
      <c r="M65" s="21">
        <v>63</v>
      </c>
      <c r="N65" s="21">
        <v>1215.5050900298506</v>
      </c>
      <c r="O65" s="21">
        <v>0</v>
      </c>
      <c r="P65" s="21">
        <v>0</v>
      </c>
      <c r="Q65" s="21">
        <v>0</v>
      </c>
      <c r="R65" s="21">
        <v>1138</v>
      </c>
      <c r="S65" s="21">
        <v>28</v>
      </c>
      <c r="T65" s="21">
        <v>0</v>
      </c>
      <c r="U65" s="21">
        <v>221</v>
      </c>
      <c r="V65" s="21">
        <v>41476.855090029858</v>
      </c>
    </row>
    <row r="66" spans="1:28">
      <c r="A66" s="168"/>
      <c r="B66" s="12"/>
      <c r="C66" s="12" t="s">
        <v>27</v>
      </c>
      <c r="D66" s="12"/>
      <c r="E66" s="12"/>
      <c r="F66" s="21">
        <v>0</v>
      </c>
      <c r="G66" s="21">
        <v>19</v>
      </c>
      <c r="H66" s="21">
        <v>61</v>
      </c>
      <c r="I66" s="21">
        <v>0</v>
      </c>
      <c r="J66" s="21">
        <v>0</v>
      </c>
      <c r="K66" s="21">
        <v>0</v>
      </c>
      <c r="L66" s="21">
        <v>0</v>
      </c>
      <c r="M66" s="21">
        <v>0</v>
      </c>
      <c r="N66" s="21">
        <v>0</v>
      </c>
      <c r="O66" s="21">
        <v>0</v>
      </c>
      <c r="P66" s="21">
        <v>272</v>
      </c>
      <c r="Q66" s="21">
        <v>0</v>
      </c>
      <c r="R66" s="21">
        <v>0</v>
      </c>
      <c r="S66" s="21">
        <v>0</v>
      </c>
      <c r="T66" s="21">
        <v>0</v>
      </c>
      <c r="U66" s="21">
        <v>0</v>
      </c>
      <c r="V66" s="21">
        <v>352</v>
      </c>
    </row>
    <row r="67" spans="1:28">
      <c r="A67" s="168"/>
      <c r="B67" s="12"/>
      <c r="C67" s="12" t="s">
        <v>29</v>
      </c>
      <c r="D67" s="12"/>
      <c r="E67" s="12"/>
      <c r="F67" s="21">
        <v>0</v>
      </c>
      <c r="G67" s="21">
        <v>26485.71</v>
      </c>
      <c r="H67" s="21">
        <v>115</v>
      </c>
      <c r="I67" s="21">
        <v>0</v>
      </c>
      <c r="J67" s="21">
        <v>196</v>
      </c>
      <c r="K67" s="21">
        <v>0</v>
      </c>
      <c r="L67" s="21">
        <v>60</v>
      </c>
      <c r="M67" s="21">
        <v>0</v>
      </c>
      <c r="N67" s="21">
        <v>3950.3095520361744</v>
      </c>
      <c r="O67" s="21">
        <v>8977</v>
      </c>
      <c r="P67" s="21">
        <v>0</v>
      </c>
      <c r="Q67" s="21">
        <v>46</v>
      </c>
      <c r="R67" s="21">
        <v>0</v>
      </c>
      <c r="S67" s="21">
        <v>0</v>
      </c>
      <c r="T67" s="21">
        <v>34</v>
      </c>
      <c r="U67" s="21">
        <v>0</v>
      </c>
      <c r="V67" s="21">
        <v>39864.019552036174</v>
      </c>
    </row>
    <row r="68" spans="1:28">
      <c r="A68" s="168"/>
      <c r="B68" s="12"/>
      <c r="C68" s="12" t="s">
        <v>30</v>
      </c>
      <c r="D68" s="12"/>
      <c r="E68" s="12"/>
      <c r="F68" s="21">
        <v>8401.5</v>
      </c>
      <c r="G68" s="21">
        <v>1658.58</v>
      </c>
      <c r="H68" s="21">
        <v>7632</v>
      </c>
      <c r="I68" s="21">
        <v>2329.84</v>
      </c>
      <c r="J68" s="21">
        <v>407</v>
      </c>
      <c r="K68" s="21">
        <v>1060</v>
      </c>
      <c r="L68" s="21">
        <v>2857</v>
      </c>
      <c r="M68" s="21">
        <v>291</v>
      </c>
      <c r="N68" s="21">
        <v>3791.820055933857</v>
      </c>
      <c r="O68" s="21">
        <v>17794</v>
      </c>
      <c r="P68" s="21">
        <v>5076</v>
      </c>
      <c r="Q68" s="21">
        <v>643</v>
      </c>
      <c r="R68" s="21">
        <v>2405</v>
      </c>
      <c r="S68" s="21">
        <v>1135</v>
      </c>
      <c r="T68" s="21">
        <v>1180</v>
      </c>
      <c r="U68" s="21">
        <v>574</v>
      </c>
      <c r="V68" s="21">
        <v>57235.740055933857</v>
      </c>
    </row>
    <row r="69" spans="1:28">
      <c r="A69" s="168"/>
      <c r="B69" s="13"/>
      <c r="C69" s="13" t="s">
        <v>31</v>
      </c>
      <c r="D69" s="13"/>
      <c r="E69" s="13"/>
      <c r="F69" s="22">
        <v>0</v>
      </c>
      <c r="G69" s="22">
        <v>752.41</v>
      </c>
      <c r="H69" s="22">
        <v>0</v>
      </c>
      <c r="I69" s="22">
        <v>0</v>
      </c>
      <c r="J69" s="22">
        <v>0</v>
      </c>
      <c r="K69" s="22">
        <v>0</v>
      </c>
      <c r="L69" s="22">
        <v>0</v>
      </c>
      <c r="M69" s="22">
        <v>0</v>
      </c>
      <c r="N69" s="22">
        <v>0</v>
      </c>
      <c r="O69" s="22">
        <v>0</v>
      </c>
      <c r="P69" s="22">
        <v>0</v>
      </c>
      <c r="Q69" s="22">
        <v>0</v>
      </c>
      <c r="R69" s="22">
        <v>0</v>
      </c>
      <c r="S69" s="22">
        <v>0</v>
      </c>
      <c r="T69" s="22">
        <v>0</v>
      </c>
      <c r="U69" s="22">
        <v>0</v>
      </c>
      <c r="V69" s="22">
        <v>752.41</v>
      </c>
    </row>
    <row r="70" spans="1:28">
      <c r="A70" s="168"/>
      <c r="B70" s="171" t="s">
        <v>33</v>
      </c>
      <c r="C70" s="171"/>
      <c r="D70" s="171"/>
      <c r="E70" s="17" t="s">
        <v>181</v>
      </c>
      <c r="F70" s="17"/>
      <c r="G70" s="17"/>
      <c r="H70" s="17"/>
      <c r="I70" s="17"/>
      <c r="J70" s="17"/>
      <c r="K70" s="17"/>
      <c r="L70" s="17"/>
      <c r="M70" s="17"/>
      <c r="N70" s="17"/>
      <c r="O70" s="17"/>
      <c r="P70" s="17"/>
      <c r="Q70" s="17"/>
      <c r="R70" s="17"/>
      <c r="S70" s="17"/>
      <c r="T70" s="17"/>
      <c r="U70" s="17"/>
      <c r="V70" s="25"/>
    </row>
    <row r="71" spans="1:28">
      <c r="A71" s="168"/>
      <c r="B71" s="140"/>
      <c r="C71" s="140"/>
      <c r="D71" s="140"/>
      <c r="E71" s="167" t="s">
        <v>200</v>
      </c>
      <c r="F71" s="167"/>
      <c r="G71" s="167"/>
      <c r="H71" s="167"/>
      <c r="I71" s="167"/>
      <c r="J71" s="167"/>
      <c r="K71" s="167"/>
      <c r="L71" s="167"/>
      <c r="M71" s="167"/>
      <c r="N71" s="167"/>
      <c r="O71" s="167"/>
      <c r="P71" s="167"/>
      <c r="Q71" s="167"/>
      <c r="R71" s="167"/>
      <c r="S71" s="167"/>
      <c r="T71" s="167"/>
      <c r="U71" s="167"/>
      <c r="V71" s="167"/>
      <c r="W71" s="157"/>
      <c r="X71" s="157"/>
      <c r="Y71" s="157"/>
      <c r="Z71" s="157"/>
      <c r="AA71" s="157"/>
      <c r="AB71" s="157"/>
    </row>
    <row r="72" spans="1:28">
      <c r="A72" s="168"/>
      <c r="E72" s="180" t="s">
        <v>122</v>
      </c>
      <c r="F72" s="180"/>
      <c r="G72" s="180"/>
      <c r="H72" s="180"/>
      <c r="I72" s="180"/>
      <c r="J72" s="180"/>
      <c r="K72" s="180"/>
      <c r="L72" s="180"/>
      <c r="M72" s="180"/>
      <c r="N72" s="180"/>
      <c r="O72" s="180"/>
      <c r="P72" s="180"/>
      <c r="Q72" s="180"/>
      <c r="R72" s="180"/>
      <c r="S72" s="180"/>
      <c r="T72" s="180"/>
      <c r="U72" s="180"/>
      <c r="V72" s="180"/>
    </row>
    <row r="73" spans="1:28" ht="13.5">
      <c r="E73" s="180"/>
      <c r="F73" s="180"/>
      <c r="G73" s="180"/>
      <c r="H73" s="180"/>
      <c r="I73" s="180"/>
      <c r="J73" s="180"/>
      <c r="K73" s="181"/>
      <c r="L73" s="181"/>
      <c r="M73" s="181"/>
      <c r="N73" s="181"/>
    </row>
  </sheetData>
  <mergeCells count="11">
    <mergeCell ref="E73:N73"/>
    <mergeCell ref="A1:A36"/>
    <mergeCell ref="A37:A72"/>
    <mergeCell ref="B1:E1"/>
    <mergeCell ref="B5:E5"/>
    <mergeCell ref="B30:E30"/>
    <mergeCell ref="B49:E49"/>
    <mergeCell ref="B60:E60"/>
    <mergeCell ref="B70:D70"/>
    <mergeCell ref="E72:V72"/>
    <mergeCell ref="E71:V71"/>
  </mergeCells>
  <hyperlinks>
    <hyperlink ref="E71:V71" location="Leer!Druckbereich" display="Ab 2024 gelten für die Schularten des Sek-I-Bereichs neue Bezeichnungen bzw. Zusätze. Zudem kommt es bei den Hauptschulen, Schularten mit zwei Bildungsgängen und Schularten mit drei Bildungsgängen zu Neuzuordnungen." xr:uid="{F27A6CFB-EDA6-4082-9BE8-5908449827E0}"/>
  </hyperlinks>
  <printOptions verticalCentered="1"/>
  <pageMargins left="0.23622047244094491" right="0.23622047244094491" top="0.74803149606299213" bottom="0.74803149606299213" header="0.31496062992125984" footer="0.31496062992125984"/>
  <pageSetup paperSize="9" orientation="landscape" r:id="rId1"/>
  <rowBreaks count="1" manualBreakCount="1">
    <brk id="36"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15"/>
  <dimension ref="A1:AB73"/>
  <sheetViews>
    <sheetView view="pageBreakPreview" zoomScale="140" zoomScaleNormal="100" zoomScaleSheetLayoutView="140" workbookViewId="0">
      <selection activeCell="J27" sqref="J27"/>
    </sheetView>
  </sheetViews>
  <sheetFormatPr baseColWidth="10" defaultRowHeight="12.75"/>
  <cols>
    <col min="1" max="1" width="2.7109375" customWidth="1"/>
    <col min="2" max="2" width="3.7109375" customWidth="1"/>
    <col min="3" max="4" width="2.7109375" customWidth="1"/>
    <col min="5" max="5" width="27.28515625" customWidth="1"/>
    <col min="6" max="18" width="9.7109375" hidden="1" customWidth="1"/>
    <col min="19" max="28" width="9.7109375" customWidth="1"/>
  </cols>
  <sheetData>
    <row r="1" spans="1:28" ht="13.5">
      <c r="A1" s="168">
        <v>69</v>
      </c>
      <c r="B1" s="169" t="s">
        <v>0</v>
      </c>
      <c r="C1" s="169"/>
      <c r="D1" s="169"/>
      <c r="E1" s="169"/>
    </row>
    <row r="2" spans="1:28" ht="13.5">
      <c r="A2" s="168"/>
      <c r="B2" s="4" t="s">
        <v>63</v>
      </c>
      <c r="C2" s="4"/>
      <c r="D2" s="4" t="s">
        <v>153</v>
      </c>
      <c r="E2" s="4"/>
    </row>
    <row r="3" spans="1:28" ht="13.5">
      <c r="A3" s="168"/>
      <c r="B3" s="5" t="s">
        <v>64</v>
      </c>
      <c r="C3" s="4"/>
      <c r="D3" s="4" t="s">
        <v>185</v>
      </c>
      <c r="E3" s="4"/>
    </row>
    <row r="4" spans="1:28" ht="10.5" customHeight="1">
      <c r="A4" s="168"/>
    </row>
    <row r="5" spans="1:28" s="6" customFormat="1" ht="18.75" customHeight="1">
      <c r="A5" s="168"/>
      <c r="B5" s="170" t="s">
        <v>126</v>
      </c>
      <c r="C5" s="170"/>
      <c r="D5" s="170"/>
      <c r="E5" s="170"/>
      <c r="F5" s="8">
        <v>2002</v>
      </c>
      <c r="G5" s="8">
        <v>2003</v>
      </c>
      <c r="H5" s="8">
        <v>2004</v>
      </c>
      <c r="I5" s="8">
        <v>2005</v>
      </c>
      <c r="J5" s="8">
        <v>2006</v>
      </c>
      <c r="K5" s="8">
        <v>2007</v>
      </c>
      <c r="L5" s="8">
        <v>2008</v>
      </c>
      <c r="M5" s="8">
        <v>2009</v>
      </c>
      <c r="N5" s="8">
        <v>2010</v>
      </c>
      <c r="O5" s="8">
        <v>2011</v>
      </c>
      <c r="P5" s="8">
        <v>2012</v>
      </c>
      <c r="Q5" s="8">
        <v>2013</v>
      </c>
      <c r="R5" s="8">
        <v>2014</v>
      </c>
      <c r="S5" s="8">
        <v>2015</v>
      </c>
      <c r="T5" s="8">
        <v>2016</v>
      </c>
      <c r="U5" s="8">
        <v>2017</v>
      </c>
      <c r="V5" s="8">
        <v>2018</v>
      </c>
      <c r="W5" s="8">
        <v>2019</v>
      </c>
      <c r="X5" s="8">
        <v>2020</v>
      </c>
      <c r="Y5" s="8">
        <v>2021</v>
      </c>
      <c r="Z5" s="8">
        <v>2022</v>
      </c>
      <c r="AA5" s="8">
        <v>2023</v>
      </c>
      <c r="AB5" s="8">
        <v>2024</v>
      </c>
    </row>
    <row r="6" spans="1:28" ht="13.5">
      <c r="A6" s="168"/>
      <c r="B6" s="9" t="s">
        <v>120</v>
      </c>
      <c r="C6" s="9"/>
      <c r="D6" s="9"/>
      <c r="E6" s="16"/>
      <c r="F6" s="52" t="s">
        <v>55</v>
      </c>
      <c r="G6" s="52" t="s">
        <v>55</v>
      </c>
      <c r="H6" s="52" t="s">
        <v>55</v>
      </c>
      <c r="I6" s="52" t="s">
        <v>55</v>
      </c>
      <c r="J6" s="52" t="s">
        <v>55</v>
      </c>
      <c r="K6" s="52" t="s">
        <v>55</v>
      </c>
      <c r="L6" s="52" t="s">
        <v>55</v>
      </c>
      <c r="M6" s="52" t="s">
        <v>55</v>
      </c>
      <c r="N6" s="52" t="s">
        <v>55</v>
      </c>
      <c r="O6" s="52" t="s">
        <v>55</v>
      </c>
      <c r="P6" s="52" t="s">
        <v>55</v>
      </c>
      <c r="Q6" s="52" t="s">
        <v>55</v>
      </c>
      <c r="R6" s="52" t="s">
        <v>55</v>
      </c>
      <c r="S6" s="52" t="s">
        <v>55</v>
      </c>
      <c r="T6" s="52" t="s">
        <v>55</v>
      </c>
      <c r="U6" s="52" t="s">
        <v>55</v>
      </c>
      <c r="V6" s="52" t="s">
        <v>55</v>
      </c>
      <c r="W6" s="52" t="s">
        <v>55</v>
      </c>
      <c r="X6" s="52" t="s">
        <v>55</v>
      </c>
      <c r="Y6" s="52" t="s">
        <v>55</v>
      </c>
      <c r="Z6" s="52" t="s">
        <v>55</v>
      </c>
      <c r="AA6" s="52" t="s">
        <v>55</v>
      </c>
      <c r="AB6" s="52" t="s">
        <v>55</v>
      </c>
    </row>
    <row r="7" spans="1:28" ht="13.5">
      <c r="A7" s="168"/>
      <c r="B7" s="10" t="s">
        <v>119</v>
      </c>
      <c r="C7" s="10"/>
      <c r="D7" s="10"/>
      <c r="E7" s="9"/>
      <c r="F7" s="65" t="s">
        <v>55</v>
      </c>
      <c r="G7" s="65" t="s">
        <v>55</v>
      </c>
      <c r="H7" s="65" t="s">
        <v>55</v>
      </c>
      <c r="I7" s="65" t="s">
        <v>55</v>
      </c>
      <c r="J7" s="65" t="s">
        <v>55</v>
      </c>
      <c r="K7" s="65" t="s">
        <v>55</v>
      </c>
      <c r="L7" s="65" t="s">
        <v>55</v>
      </c>
      <c r="M7" s="65" t="s">
        <v>55</v>
      </c>
      <c r="N7" s="65" t="s">
        <v>55</v>
      </c>
      <c r="O7" s="65" t="s">
        <v>55</v>
      </c>
      <c r="P7" s="65" t="s">
        <v>55</v>
      </c>
      <c r="Q7" s="65" t="s">
        <v>55</v>
      </c>
      <c r="R7" s="65" t="s">
        <v>55</v>
      </c>
      <c r="S7" s="65" t="s">
        <v>55</v>
      </c>
      <c r="T7" s="65" t="s">
        <v>55</v>
      </c>
      <c r="U7" s="65" t="s">
        <v>55</v>
      </c>
      <c r="V7" s="65" t="s">
        <v>55</v>
      </c>
      <c r="W7" s="65" t="s">
        <v>55</v>
      </c>
      <c r="X7" s="65" t="s">
        <v>55</v>
      </c>
      <c r="Y7" s="65" t="s">
        <v>55</v>
      </c>
      <c r="Z7" s="65" t="s">
        <v>55</v>
      </c>
      <c r="AA7" s="65" t="s">
        <v>55</v>
      </c>
      <c r="AB7" s="65" t="s">
        <v>55</v>
      </c>
    </row>
    <row r="8" spans="1:28" ht="13.5">
      <c r="A8" s="168"/>
      <c r="B8" s="11" t="s">
        <v>3</v>
      </c>
      <c r="C8" s="11"/>
      <c r="D8" s="11"/>
      <c r="E8" s="11"/>
      <c r="F8" s="57">
        <v>10.251856095872425</v>
      </c>
      <c r="G8" s="57">
        <v>10.175748382356426</v>
      </c>
      <c r="H8" s="57">
        <v>10.091227318188313</v>
      </c>
      <c r="I8" s="57">
        <v>10.041469651645276</v>
      </c>
      <c r="J8" s="57">
        <v>9.9561091051039323</v>
      </c>
      <c r="K8" s="57">
        <v>9.8832226692666545</v>
      </c>
      <c r="L8" s="57">
        <v>9.805163090877377</v>
      </c>
      <c r="M8" s="57">
        <v>9.7557735849056595</v>
      </c>
      <c r="N8" s="57">
        <v>9.6779001280409727</v>
      </c>
      <c r="O8" s="57">
        <v>9.6047144433271185</v>
      </c>
      <c r="P8" s="57">
        <v>9.5742862534710049</v>
      </c>
      <c r="Q8" s="57">
        <v>9.5164222955181685</v>
      </c>
      <c r="R8" s="57">
        <v>9.5477968420452601</v>
      </c>
      <c r="S8" s="57">
        <v>9.5219509314753026</v>
      </c>
      <c r="T8" s="57">
        <v>9.5790155440414502</v>
      </c>
      <c r="U8" s="57">
        <v>9.5325512846034641</v>
      </c>
      <c r="V8" s="57">
        <v>9.5865925324854704</v>
      </c>
      <c r="W8" s="57">
        <v>9.623240014610781</v>
      </c>
      <c r="X8" s="57">
        <v>9.509494909661349</v>
      </c>
      <c r="Y8" s="57">
        <v>9.5143113307623199</v>
      </c>
      <c r="Z8" s="57">
        <v>9.5416429418155975</v>
      </c>
      <c r="AA8" s="57">
        <v>9.6908064213837513</v>
      </c>
      <c r="AB8" s="57">
        <v>9.7215028708128663</v>
      </c>
    </row>
    <row r="9" spans="1:28" ht="13.5">
      <c r="A9" s="168"/>
      <c r="B9" s="12"/>
      <c r="C9" s="12" t="s">
        <v>4</v>
      </c>
      <c r="D9" s="12"/>
      <c r="E9" s="12"/>
      <c r="F9" s="55">
        <v>12.37024351083757</v>
      </c>
      <c r="G9" s="55">
        <v>12.249799325734468</v>
      </c>
      <c r="H9" s="55">
        <v>12.041767930820098</v>
      </c>
      <c r="I9" s="55">
        <v>11.814708467623792</v>
      </c>
      <c r="J9" s="55">
        <v>11.699476439790576</v>
      </c>
      <c r="K9" s="55">
        <v>11.55059504663879</v>
      </c>
      <c r="L9" s="55">
        <v>11.349273728195264</v>
      </c>
      <c r="M9" s="55">
        <v>10.905407209612816</v>
      </c>
      <c r="N9" s="55">
        <v>10.781186947749251</v>
      </c>
      <c r="O9" s="55">
        <v>10.611564746507955</v>
      </c>
      <c r="P9" s="55">
        <v>10.551033041863345</v>
      </c>
      <c r="Q9" s="55">
        <v>10.479606305780299</v>
      </c>
      <c r="R9" s="55">
        <v>10.462392776523702</v>
      </c>
      <c r="S9" s="55">
        <v>10.370495049504951</v>
      </c>
      <c r="T9" s="55">
        <v>10.469076562166773</v>
      </c>
      <c r="U9" s="55">
        <v>10.422699721053732</v>
      </c>
      <c r="V9" s="55">
        <v>10.495336624161842</v>
      </c>
      <c r="W9" s="55">
        <v>10.669605623734064</v>
      </c>
      <c r="X9" s="55">
        <v>10.929733359715552</v>
      </c>
      <c r="Y9" s="55">
        <v>11.017939459165367</v>
      </c>
      <c r="Z9" s="55">
        <v>10.914187521822882</v>
      </c>
      <c r="AA9" s="55">
        <v>10.997302054619229</v>
      </c>
      <c r="AB9" s="55">
        <v>11.706879574129966</v>
      </c>
    </row>
    <row r="10" spans="1:28" ht="13.5">
      <c r="A10" s="168"/>
      <c r="B10" s="13"/>
      <c r="C10" s="13" t="s">
        <v>5</v>
      </c>
      <c r="D10" s="13"/>
      <c r="E10" s="13"/>
      <c r="F10" s="79">
        <v>9.2358064365888879</v>
      </c>
      <c r="G10" s="79">
        <v>9.1617371428571435</v>
      </c>
      <c r="H10" s="79">
        <v>9.2573587558211052</v>
      </c>
      <c r="I10" s="79">
        <v>9.3663699048616564</v>
      </c>
      <c r="J10" s="79">
        <v>9.3441850503319763</v>
      </c>
      <c r="K10" s="79">
        <v>9.3435860551700802</v>
      </c>
      <c r="L10" s="79">
        <v>9.3361602082371213</v>
      </c>
      <c r="M10" s="79">
        <v>9.0605167541380709</v>
      </c>
      <c r="N10" s="79">
        <v>9.0352960246383276</v>
      </c>
      <c r="O10" s="79">
        <v>9.0388323228013761</v>
      </c>
      <c r="P10" s="79">
        <v>9.0520479933802243</v>
      </c>
      <c r="Q10" s="79">
        <v>9.0370693233706927</v>
      </c>
      <c r="R10" s="79">
        <v>9.1259422764566249</v>
      </c>
      <c r="S10" s="79">
        <v>9.1614151697446466</v>
      </c>
      <c r="T10" s="79">
        <v>9.2285666302796212</v>
      </c>
      <c r="U10" s="79">
        <v>9.2384804601025312</v>
      </c>
      <c r="V10" s="79">
        <v>9.2957795341150646</v>
      </c>
      <c r="W10" s="79">
        <v>9.2958707928321598</v>
      </c>
      <c r="X10" s="79">
        <v>8.9289449088568045</v>
      </c>
      <c r="Y10" s="79">
        <v>8.9045746048416774</v>
      </c>
      <c r="Z10" s="79">
        <v>8.9861598411916503</v>
      </c>
      <c r="AA10" s="79">
        <v>9.1620944279299223</v>
      </c>
      <c r="AB10" s="79">
        <v>8.9933557851432262</v>
      </c>
    </row>
    <row r="11" spans="1:28" ht="13.5" hidden="1">
      <c r="A11" s="168"/>
      <c r="B11" s="13"/>
      <c r="C11" s="13"/>
      <c r="D11" s="13"/>
      <c r="E11" s="13"/>
      <c r="F11" s="55"/>
      <c r="G11" s="55"/>
      <c r="H11" s="55"/>
      <c r="I11" s="55"/>
      <c r="J11" s="142"/>
      <c r="K11" s="142"/>
      <c r="L11" s="142"/>
      <c r="M11" s="142"/>
      <c r="N11" s="142"/>
      <c r="O11" s="142"/>
      <c r="P11" s="142"/>
      <c r="Q11" s="142"/>
      <c r="R11" s="142"/>
      <c r="S11" s="142"/>
      <c r="T11" s="142"/>
      <c r="U11" s="142"/>
      <c r="V11" s="142"/>
      <c r="W11" s="142"/>
      <c r="X11" s="142"/>
      <c r="Y11" s="142"/>
      <c r="Z11" s="142"/>
      <c r="AA11" s="142"/>
      <c r="AB11" s="142"/>
    </row>
    <row r="12" spans="1:28" ht="13.5">
      <c r="A12" s="168"/>
      <c r="B12" s="11" t="s">
        <v>6</v>
      </c>
      <c r="C12" s="11"/>
      <c r="D12" s="11"/>
      <c r="E12" s="11"/>
      <c r="F12" s="57">
        <v>12.229241071428572</v>
      </c>
      <c r="G12" s="57">
        <v>12.268697431234372</v>
      </c>
      <c r="H12" s="57">
        <v>12.125789340742612</v>
      </c>
      <c r="I12" s="57">
        <v>11.111684482123112</v>
      </c>
      <c r="J12" s="57">
        <v>11.031131359149583</v>
      </c>
      <c r="K12" s="57">
        <v>11.094637223974763</v>
      </c>
      <c r="L12" s="57">
        <v>10.891388673390225</v>
      </c>
      <c r="M12" s="57">
        <v>10.746429949826322</v>
      </c>
      <c r="N12" s="57">
        <v>11.122732535700502</v>
      </c>
      <c r="O12" s="57">
        <v>11.234779148428174</v>
      </c>
      <c r="P12" s="57">
        <v>11.281262646701741</v>
      </c>
      <c r="Q12" s="57">
        <v>11.378800328677075</v>
      </c>
      <c r="R12" s="57">
        <v>11.492903225806451</v>
      </c>
      <c r="S12" s="57">
        <v>11.657587548638132</v>
      </c>
      <c r="T12" s="57">
        <v>11.882859603789836</v>
      </c>
      <c r="U12" s="57">
        <v>12.018755328218244</v>
      </c>
      <c r="V12" s="57">
        <v>11.670801949490475</v>
      </c>
      <c r="W12" s="57">
        <v>11.703475582930048</v>
      </c>
      <c r="X12" s="57">
        <v>11.506384852487891</v>
      </c>
      <c r="Y12" s="57">
        <v>11.487046632124352</v>
      </c>
      <c r="Z12" s="57">
        <v>11.768277041470714</v>
      </c>
      <c r="AA12" s="57">
        <v>12.02295492487479</v>
      </c>
      <c r="AB12" s="57">
        <v>12.043404972608512</v>
      </c>
    </row>
    <row r="13" spans="1:28" ht="13.5">
      <c r="A13" s="168"/>
      <c r="B13" s="12"/>
      <c r="C13" s="12" t="s">
        <v>7</v>
      </c>
      <c r="D13" s="12"/>
      <c r="E13" s="12"/>
      <c r="F13" s="55">
        <v>17.293165467625901</v>
      </c>
      <c r="G13" s="55">
        <v>17.458558558558558</v>
      </c>
      <c r="H13" s="55">
        <v>17.774594078319005</v>
      </c>
      <c r="I13" s="55">
        <v>21.427083333333332</v>
      </c>
      <c r="J13" s="55">
        <v>21.308093994778069</v>
      </c>
      <c r="K13" s="55">
        <v>19.919101123595507</v>
      </c>
      <c r="L13" s="55">
        <v>19.730158730158731</v>
      </c>
      <c r="M13" s="55">
        <v>19.544885177453025</v>
      </c>
      <c r="N13" s="55">
        <v>19.34930139720559</v>
      </c>
      <c r="O13" s="55">
        <v>18.183673469387756</v>
      </c>
      <c r="P13" s="55">
        <v>18.302367941712205</v>
      </c>
      <c r="Q13" s="55">
        <v>18.727915194346291</v>
      </c>
      <c r="R13" s="55">
        <v>18.814882032667878</v>
      </c>
      <c r="S13" s="55">
        <v>19.562043795620436</v>
      </c>
      <c r="T13" s="55">
        <v>19.591872791519435</v>
      </c>
      <c r="U13" s="55">
        <v>19.428076256499132</v>
      </c>
      <c r="V13" s="55">
        <v>19.464435146443513</v>
      </c>
      <c r="W13" s="55">
        <v>19.344064386317907</v>
      </c>
      <c r="X13" s="55">
        <v>19.304518664047151</v>
      </c>
      <c r="Y13" s="55">
        <v>19.276243093922652</v>
      </c>
      <c r="Z13" s="55">
        <v>19.758122743682311</v>
      </c>
      <c r="AA13" s="55">
        <v>19.728987993138936</v>
      </c>
      <c r="AB13" s="55">
        <v>18.991511035653652</v>
      </c>
    </row>
    <row r="14" spans="1:28" ht="13.5">
      <c r="A14" s="168"/>
      <c r="B14" s="13"/>
      <c r="C14" s="13" t="s">
        <v>8</v>
      </c>
      <c r="D14" s="13"/>
      <c r="E14" s="13"/>
      <c r="F14" s="55">
        <v>10.55730403800475</v>
      </c>
      <c r="G14" s="55">
        <v>10.517178473700213</v>
      </c>
      <c r="H14" s="55">
        <v>10.094780219780219</v>
      </c>
      <c r="I14" s="55">
        <v>9.4109059682267073</v>
      </c>
      <c r="J14" s="55">
        <v>9.2825410928476231</v>
      </c>
      <c r="K14" s="55">
        <v>9.2166427546628409</v>
      </c>
      <c r="L14" s="55">
        <v>9.0673841834347222</v>
      </c>
      <c r="M14" s="55">
        <v>8.7509469696969688</v>
      </c>
      <c r="N14" s="55">
        <v>9.150717703349283</v>
      </c>
      <c r="O14" s="55">
        <v>9.3373860182370816</v>
      </c>
      <c r="P14" s="55">
        <v>9.2757544224765862</v>
      </c>
      <c r="Q14" s="55">
        <v>9.1520342612419707</v>
      </c>
      <c r="R14" s="55">
        <v>9.2187147688838778</v>
      </c>
      <c r="S14" s="55">
        <v>9.2033994334277622</v>
      </c>
      <c r="T14" s="55">
        <v>9.3980637813211843</v>
      </c>
      <c r="U14" s="55">
        <v>9.6020350480497463</v>
      </c>
      <c r="V14" s="55">
        <v>9.5767284991568289</v>
      </c>
      <c r="W14" s="55">
        <v>9.5653153153153152</v>
      </c>
      <c r="X14" s="55">
        <v>9.2536889897843366</v>
      </c>
      <c r="Y14" s="55">
        <v>9.1015228426395947</v>
      </c>
      <c r="Z14" s="55">
        <v>9.2885154061624657</v>
      </c>
      <c r="AA14" s="55">
        <v>9.5449531163816879</v>
      </c>
      <c r="AB14" s="55">
        <v>9.7494394618834086</v>
      </c>
    </row>
    <row r="15" spans="1:28" ht="13.5">
      <c r="A15" s="168"/>
      <c r="B15" s="11" t="s">
        <v>123</v>
      </c>
      <c r="C15" s="11"/>
      <c r="D15" s="11"/>
      <c r="E15" s="11"/>
      <c r="F15" s="57">
        <v>22.03755459119758</v>
      </c>
      <c r="G15" s="57">
        <v>22.055239940490605</v>
      </c>
      <c r="H15" s="57">
        <v>22.038574498814846</v>
      </c>
      <c r="I15" s="57">
        <v>22.108962669877862</v>
      </c>
      <c r="J15" s="57">
        <v>22.109410599649586</v>
      </c>
      <c r="K15" s="57">
        <v>21.949554875259508</v>
      </c>
      <c r="L15" s="57">
        <v>21.726172314259724</v>
      </c>
      <c r="M15" s="57">
        <v>21.49554829175251</v>
      </c>
      <c r="N15" s="57">
        <v>21.16287845352635</v>
      </c>
      <c r="O15" s="57">
        <v>20.992124637207638</v>
      </c>
      <c r="P15" s="57">
        <v>20.849921317392958</v>
      </c>
      <c r="Q15" s="57">
        <v>20.723564107739577</v>
      </c>
      <c r="R15" s="57">
        <v>20.713387148278244</v>
      </c>
      <c r="S15" s="57">
        <v>20.7577300540956</v>
      </c>
      <c r="T15" s="57">
        <v>20.857894698636002</v>
      </c>
      <c r="U15" s="57">
        <v>20.969483554513047</v>
      </c>
      <c r="V15" s="57">
        <v>20.944090055140748</v>
      </c>
      <c r="W15" s="57">
        <v>20.919508896082636</v>
      </c>
      <c r="X15" s="57">
        <v>20.92256075377804</v>
      </c>
      <c r="Y15" s="57">
        <v>20.931698320963111</v>
      </c>
      <c r="Z15" s="57">
        <v>21.330829969682522</v>
      </c>
      <c r="AA15" s="57">
        <v>21.365743725587269</v>
      </c>
      <c r="AB15" s="57">
        <v>21.374644895190642</v>
      </c>
    </row>
    <row r="16" spans="1:28" ht="13.5">
      <c r="A16" s="168"/>
      <c r="B16" s="12"/>
      <c r="C16" s="12" t="s">
        <v>9</v>
      </c>
      <c r="D16" s="12"/>
      <c r="E16" s="12"/>
      <c r="F16" s="55">
        <v>22.007916065904222</v>
      </c>
      <c r="G16" s="55">
        <v>22.022541026627945</v>
      </c>
      <c r="H16" s="55">
        <v>22.000978391524335</v>
      </c>
      <c r="I16" s="55">
        <v>22.067507031982498</v>
      </c>
      <c r="J16" s="55">
        <v>22.07003768624627</v>
      </c>
      <c r="K16" s="55">
        <v>21.911876768222466</v>
      </c>
      <c r="L16" s="55">
        <v>21.68634090925536</v>
      </c>
      <c r="M16" s="55">
        <v>21.45960391666053</v>
      </c>
      <c r="N16" s="55">
        <v>21.123627539284943</v>
      </c>
      <c r="O16" s="55">
        <v>20.95625654146486</v>
      </c>
      <c r="P16" s="55">
        <v>20.818203180667364</v>
      </c>
      <c r="Q16" s="55">
        <v>20.695030258573262</v>
      </c>
      <c r="R16" s="55">
        <v>20.687287112984773</v>
      </c>
      <c r="S16" s="55">
        <v>20.740790789644457</v>
      </c>
      <c r="T16" s="55">
        <v>20.840202583389065</v>
      </c>
      <c r="U16" s="55">
        <v>20.949185412525853</v>
      </c>
      <c r="V16" s="55">
        <v>20.919237905867089</v>
      </c>
      <c r="W16" s="55">
        <v>20.886983833689925</v>
      </c>
      <c r="X16" s="55">
        <v>20.891768067611071</v>
      </c>
      <c r="Y16" s="55">
        <v>20.89747424475885</v>
      </c>
      <c r="Z16" s="55">
        <v>21.300225724724939</v>
      </c>
      <c r="AA16" s="55">
        <v>21.343128377780534</v>
      </c>
      <c r="AB16" s="55">
        <v>21.353937275250438</v>
      </c>
    </row>
    <row r="17" spans="1:28" ht="13.5">
      <c r="A17" s="168"/>
      <c r="B17" s="12"/>
      <c r="C17" s="12" t="s">
        <v>187</v>
      </c>
      <c r="D17" s="12"/>
      <c r="E17" s="12"/>
      <c r="F17" s="55">
        <v>20.576292559899116</v>
      </c>
      <c r="G17" s="55">
        <v>20.781725888324875</v>
      </c>
      <c r="H17" s="55">
        <v>21.25868725868726</v>
      </c>
      <c r="I17" s="55">
        <v>21.592827004219409</v>
      </c>
      <c r="J17" s="55">
        <v>21.471933471933472</v>
      </c>
      <c r="K17" s="55">
        <v>21.638429752066116</v>
      </c>
      <c r="L17" s="55">
        <v>21.83050847457627</v>
      </c>
      <c r="M17" s="55">
        <v>21.227758007117437</v>
      </c>
      <c r="N17" s="55">
        <v>21.581504702194358</v>
      </c>
      <c r="O17" s="55">
        <v>20.836775415273948</v>
      </c>
      <c r="P17" s="55">
        <v>20.595300261096607</v>
      </c>
      <c r="Q17" s="55">
        <v>20.314785373608903</v>
      </c>
      <c r="R17" s="55">
        <v>20.195804195804197</v>
      </c>
      <c r="S17" s="55">
        <v>20.033060357901121</v>
      </c>
      <c r="T17" s="55">
        <v>20.132247377139702</v>
      </c>
      <c r="U17" s="55">
        <v>20.379576818413057</v>
      </c>
      <c r="V17" s="55">
        <v>20.39392793588425</v>
      </c>
      <c r="W17" s="55">
        <v>20.59954355161647</v>
      </c>
      <c r="X17" s="55">
        <v>20.523706657804365</v>
      </c>
      <c r="Y17" s="55">
        <v>20.574043647875428</v>
      </c>
      <c r="Z17" s="55">
        <v>20.904915666614489</v>
      </c>
      <c r="AA17" s="55">
        <v>20.70198443253463</v>
      </c>
      <c r="AB17" s="55">
        <v>20.77696311774379</v>
      </c>
    </row>
    <row r="18" spans="1:28" ht="13.5">
      <c r="A18" s="168"/>
      <c r="B18" s="13"/>
      <c r="C18" s="13" t="s">
        <v>11</v>
      </c>
      <c r="D18" s="13"/>
      <c r="E18" s="13"/>
      <c r="F18" s="55">
        <v>28.647058823529413</v>
      </c>
      <c r="G18" s="55">
        <v>28.877403846153847</v>
      </c>
      <c r="H18" s="55">
        <v>29.181384248210023</v>
      </c>
      <c r="I18" s="55">
        <v>29.284064665127019</v>
      </c>
      <c r="J18" s="55">
        <v>28.729096989966557</v>
      </c>
      <c r="K18" s="55">
        <v>27.792068595927116</v>
      </c>
      <c r="L18" s="55">
        <v>27.505296610169491</v>
      </c>
      <c r="M18" s="55">
        <v>26.678681771369721</v>
      </c>
      <c r="N18" s="55">
        <v>26.318228630278064</v>
      </c>
      <c r="O18" s="55">
        <v>25.969512195121951</v>
      </c>
      <c r="P18" s="55">
        <v>25.273715415019762</v>
      </c>
      <c r="Q18" s="55">
        <v>25.19345238095238</v>
      </c>
      <c r="R18" s="55">
        <v>25.517928286852591</v>
      </c>
      <c r="S18" s="55">
        <v>25.205598455598455</v>
      </c>
      <c r="T18" s="55">
        <v>25.585388994307401</v>
      </c>
      <c r="U18" s="55">
        <v>25.511111111111113</v>
      </c>
      <c r="V18" s="55">
        <v>25.915518824609734</v>
      </c>
      <c r="W18" s="55">
        <v>25.862622658340769</v>
      </c>
      <c r="X18" s="55">
        <v>25.870061457418789</v>
      </c>
      <c r="Y18" s="55">
        <v>26.16045099739809</v>
      </c>
      <c r="Z18" s="55">
        <v>26.522293216018998</v>
      </c>
      <c r="AA18" s="55">
        <v>26.526350737401273</v>
      </c>
      <c r="AB18" s="55">
        <v>26.076198630136986</v>
      </c>
    </row>
    <row r="19" spans="1:28" ht="13.5">
      <c r="A19" s="168"/>
      <c r="B19" s="11" t="s">
        <v>124</v>
      </c>
      <c r="C19" s="11"/>
      <c r="D19" s="11"/>
      <c r="E19" s="11"/>
      <c r="F19" s="57">
        <v>24.870379366611303</v>
      </c>
      <c r="G19" s="57">
        <v>24.909302893690732</v>
      </c>
      <c r="H19" s="57">
        <v>24.957950257164921</v>
      </c>
      <c r="I19" s="57">
        <v>24.951313616574087</v>
      </c>
      <c r="J19" s="57">
        <v>24.926645680812371</v>
      </c>
      <c r="K19" s="57">
        <v>24.942116944178562</v>
      </c>
      <c r="L19" s="57">
        <v>24.797874579181499</v>
      </c>
      <c r="M19" s="57">
        <v>24.646972549368972</v>
      </c>
      <c r="N19" s="57">
        <v>24.512111478722087</v>
      </c>
      <c r="O19" s="57">
        <v>24.39634366207855</v>
      </c>
      <c r="P19" s="57">
        <v>24.287336753208933</v>
      </c>
      <c r="Q19" s="57">
        <v>24.161468441781015</v>
      </c>
      <c r="R19" s="57">
        <v>24.058415975778125</v>
      </c>
      <c r="S19" s="57">
        <v>23.983653979398586</v>
      </c>
      <c r="T19" s="57">
        <v>23.854357204486625</v>
      </c>
      <c r="U19" s="57">
        <v>23.880763088849033</v>
      </c>
      <c r="V19" s="57">
        <v>23.875012220850067</v>
      </c>
      <c r="W19" s="57">
        <v>23.840121243650817</v>
      </c>
      <c r="X19" s="57">
        <v>23.787952240147796</v>
      </c>
      <c r="Y19" s="57">
        <v>23.765155775355701</v>
      </c>
      <c r="Z19" s="57">
        <v>23.922352732425651</v>
      </c>
      <c r="AA19" s="57">
        <v>23.949120922471494</v>
      </c>
      <c r="AB19" s="57">
        <v>23.988780762323113</v>
      </c>
    </row>
    <row r="20" spans="1:28" ht="13.5">
      <c r="A20" s="168"/>
      <c r="B20" s="12"/>
      <c r="C20" s="12" t="s">
        <v>12</v>
      </c>
      <c r="D20" s="12"/>
      <c r="E20" s="12"/>
      <c r="F20" s="55">
        <v>23.519764169904864</v>
      </c>
      <c r="G20" s="55">
        <v>23.666474321984996</v>
      </c>
      <c r="H20" s="55">
        <v>22.298450392433086</v>
      </c>
      <c r="I20" s="55">
        <v>22.074050086355786</v>
      </c>
      <c r="J20" s="55">
        <v>22.120666666666665</v>
      </c>
      <c r="K20" s="55">
        <v>22.204634892872757</v>
      </c>
      <c r="L20" s="55">
        <v>22.134208298052499</v>
      </c>
      <c r="M20" s="55">
        <v>22.016240839770251</v>
      </c>
      <c r="N20" s="55">
        <v>21.718554687499999</v>
      </c>
      <c r="O20" s="55">
        <v>21.473174191000524</v>
      </c>
      <c r="P20" s="55">
        <v>21.247762497271339</v>
      </c>
      <c r="Q20" s="55">
        <v>21.183514099783082</v>
      </c>
      <c r="R20" s="55">
        <v>21.114632071458953</v>
      </c>
      <c r="S20" s="55">
        <v>21.20167890870934</v>
      </c>
      <c r="T20" s="55">
        <v>21.033785150718188</v>
      </c>
      <c r="U20" s="55">
        <v>21.248250880762168</v>
      </c>
      <c r="V20" s="55">
        <v>21.481550427280819</v>
      </c>
      <c r="W20" s="55">
        <v>21.376476454757579</v>
      </c>
      <c r="X20" s="55">
        <v>21.258036975754965</v>
      </c>
      <c r="Y20" s="55">
        <v>21.225519626381477</v>
      </c>
      <c r="Z20" s="55">
        <v>21.490574421747311</v>
      </c>
      <c r="AA20" s="55">
        <v>21.468696966008121</v>
      </c>
      <c r="AB20" s="55">
        <v>21.383946168631159</v>
      </c>
    </row>
    <row r="21" spans="1:28" ht="13.5">
      <c r="A21" s="168"/>
      <c r="B21" s="12"/>
      <c r="C21" s="12" t="s">
        <v>13</v>
      </c>
      <c r="D21" s="12"/>
      <c r="E21" s="12"/>
      <c r="F21" s="55">
        <v>21.873722283377891</v>
      </c>
      <c r="G21" s="55">
        <v>21.76214095055974</v>
      </c>
      <c r="H21" s="55">
        <v>21.36299156749941</v>
      </c>
      <c r="I21" s="55">
        <v>21.136896651389407</v>
      </c>
      <c r="J21" s="55">
        <v>20.796614606055318</v>
      </c>
      <c r="K21" s="55">
        <v>20.577643924475847</v>
      </c>
      <c r="L21" s="55">
        <v>20.242799872107035</v>
      </c>
      <c r="M21" s="55">
        <v>20.0459307642064</v>
      </c>
      <c r="N21" s="55">
        <v>19.882012152041824</v>
      </c>
      <c r="O21" s="55">
        <v>19.810388513513512</v>
      </c>
      <c r="P21" s="55">
        <v>19.783831282952548</v>
      </c>
      <c r="Q21" s="55">
        <v>19.693142206729743</v>
      </c>
      <c r="R21" s="55">
        <v>19.605269257513715</v>
      </c>
      <c r="S21" s="55">
        <v>19.487955065529437</v>
      </c>
      <c r="T21" s="55">
        <v>19.30031734680195</v>
      </c>
      <c r="U21" s="55">
        <v>19.230091544443351</v>
      </c>
      <c r="V21" s="55">
        <v>19.258543311219945</v>
      </c>
      <c r="W21" s="55">
        <v>19.276312519769395</v>
      </c>
      <c r="X21" s="55">
        <v>19.017010350062439</v>
      </c>
      <c r="Y21" s="55">
        <v>18.956229268307123</v>
      </c>
      <c r="Z21" s="55">
        <v>19.180297292714634</v>
      </c>
      <c r="AA21" s="55">
        <v>19.174288473555645</v>
      </c>
      <c r="AB21" s="55">
        <v>18.262133297282681</v>
      </c>
    </row>
    <row r="22" spans="1:28" ht="13.5">
      <c r="A22" s="168"/>
      <c r="B22" s="12"/>
      <c r="C22" s="12" t="s">
        <v>188</v>
      </c>
      <c r="D22" s="12"/>
      <c r="E22" s="12"/>
      <c r="F22" s="55">
        <v>21.968303325141683</v>
      </c>
      <c r="G22" s="55">
        <v>21.675800010110713</v>
      </c>
      <c r="H22" s="55">
        <v>21.89349180706208</v>
      </c>
      <c r="I22" s="55">
        <v>21.193190275365914</v>
      </c>
      <c r="J22" s="55">
        <v>20.850564726324937</v>
      </c>
      <c r="K22" s="55">
        <v>20.596003296250515</v>
      </c>
      <c r="L22" s="55">
        <v>20.433245453930912</v>
      </c>
      <c r="M22" s="55">
        <v>20.658085932606788</v>
      </c>
      <c r="N22" s="55">
        <v>20.949723195119194</v>
      </c>
      <c r="O22" s="55">
        <v>21.233049092588857</v>
      </c>
      <c r="P22" s="55">
        <v>21.443284551221218</v>
      </c>
      <c r="Q22" s="55">
        <v>21.545946459084867</v>
      </c>
      <c r="R22" s="55">
        <v>21.780623658859518</v>
      </c>
      <c r="S22" s="55">
        <v>21.891744889902622</v>
      </c>
      <c r="T22" s="55">
        <v>21.919705263157894</v>
      </c>
      <c r="U22" s="55">
        <v>21.944983923004429</v>
      </c>
      <c r="V22" s="55">
        <v>21.861599144837005</v>
      </c>
      <c r="W22" s="55">
        <v>21.828253728155001</v>
      </c>
      <c r="X22" s="55">
        <v>21.717352810887608</v>
      </c>
      <c r="Y22" s="55">
        <v>21.666824469526219</v>
      </c>
      <c r="Z22" s="55">
        <v>22.251364726268754</v>
      </c>
      <c r="AA22" s="55">
        <v>22.145053638392277</v>
      </c>
      <c r="AB22" s="55">
        <v>21.454878655518169</v>
      </c>
    </row>
    <row r="23" spans="1:28" ht="13.5">
      <c r="A23" s="168"/>
      <c r="B23" s="12"/>
      <c r="C23" s="12" t="s">
        <v>15</v>
      </c>
      <c r="D23" s="12"/>
      <c r="E23" s="12"/>
      <c r="F23" s="55">
        <v>26.771757047175914</v>
      </c>
      <c r="G23" s="55">
        <v>26.861141034139873</v>
      </c>
      <c r="H23" s="55">
        <v>26.833690731474864</v>
      </c>
      <c r="I23" s="55">
        <v>26.812893431838884</v>
      </c>
      <c r="J23" s="55">
        <v>26.870023346625068</v>
      </c>
      <c r="K23" s="55">
        <v>26.85660551808191</v>
      </c>
      <c r="L23" s="55">
        <v>26.817583211198198</v>
      </c>
      <c r="M23" s="55">
        <v>26.598405471932384</v>
      </c>
      <c r="N23" s="55">
        <v>26.385039922191311</v>
      </c>
      <c r="O23" s="55">
        <v>26.129072536823365</v>
      </c>
      <c r="P23" s="55">
        <v>25.969670752223024</v>
      </c>
      <c r="Q23" s="55">
        <v>25.768752379743621</v>
      </c>
      <c r="R23" s="55">
        <v>25.573799596503026</v>
      </c>
      <c r="S23" s="55">
        <v>25.448041849286017</v>
      </c>
      <c r="T23" s="55">
        <v>25.327947727947727</v>
      </c>
      <c r="U23" s="55">
        <v>25.292774369461487</v>
      </c>
      <c r="V23" s="55">
        <v>25.230927639082498</v>
      </c>
      <c r="W23" s="55">
        <v>25.164070545829041</v>
      </c>
      <c r="X23" s="55">
        <v>25.095965988381526</v>
      </c>
      <c r="Y23" s="55">
        <v>24.969558550034257</v>
      </c>
      <c r="Z23" s="55">
        <v>24.903515018125322</v>
      </c>
      <c r="AA23" s="55">
        <v>24.979106883765919</v>
      </c>
      <c r="AB23" s="55">
        <v>25.030034195754563</v>
      </c>
    </row>
    <row r="24" spans="1:28" ht="13.5">
      <c r="A24" s="168"/>
      <c r="B24" s="12"/>
      <c r="C24" s="12" t="s">
        <v>16</v>
      </c>
      <c r="D24" s="12"/>
      <c r="E24" s="12"/>
      <c r="F24" s="55">
        <v>26.770433163465309</v>
      </c>
      <c r="G24" s="55"/>
      <c r="H24" s="55">
        <v>27.033362975196113</v>
      </c>
      <c r="I24" s="55">
        <v>27.211183009257777</v>
      </c>
      <c r="J24" s="55">
        <v>27.243153994845361</v>
      </c>
      <c r="K24" s="55">
        <v>27.381154731437217</v>
      </c>
      <c r="L24" s="55">
        <v>27.204680628801537</v>
      </c>
      <c r="M24" s="55">
        <v>27.027805345470725</v>
      </c>
      <c r="N24" s="55">
        <v>26.879562559626869</v>
      </c>
      <c r="O24" s="55">
        <v>26.635520910144315</v>
      </c>
      <c r="P24" s="55">
        <v>26.36340369951991</v>
      </c>
      <c r="Q24" s="55">
        <v>26.144813144329898</v>
      </c>
      <c r="R24" s="55">
        <v>25.950841348330886</v>
      </c>
      <c r="S24" s="55">
        <v>25.844148034767397</v>
      </c>
      <c r="T24" s="55">
        <v>25.683056345941242</v>
      </c>
      <c r="U24" s="55">
        <v>25.645552967947236</v>
      </c>
      <c r="V24" s="55">
        <v>25.578298353473254</v>
      </c>
      <c r="W24" s="55">
        <v>25.516522381756758</v>
      </c>
      <c r="X24" s="55">
        <v>25.608908982581571</v>
      </c>
      <c r="Y24" s="55">
        <v>25.626816127911017</v>
      </c>
      <c r="Z24" s="55">
        <v>25.631505193757754</v>
      </c>
      <c r="AA24" s="55">
        <v>25.716033394886963</v>
      </c>
      <c r="AB24" s="55">
        <v>25.703709114476389</v>
      </c>
    </row>
    <row r="25" spans="1:28" ht="13.5">
      <c r="A25" s="168"/>
      <c r="B25" s="12"/>
      <c r="C25" s="12" t="s">
        <v>187</v>
      </c>
      <c r="D25" s="12"/>
      <c r="E25" s="12"/>
      <c r="F25" s="55">
        <v>26.123946648808527</v>
      </c>
      <c r="G25" s="55">
        <v>26.207162722061412</v>
      </c>
      <c r="H25" s="55">
        <v>26.241489671224905</v>
      </c>
      <c r="I25" s="55">
        <v>26.37727935813275</v>
      </c>
      <c r="J25" s="55">
        <v>26.376269910949453</v>
      </c>
      <c r="K25" s="55">
        <v>26.320979779294507</v>
      </c>
      <c r="L25" s="55">
        <v>26.331029672837939</v>
      </c>
      <c r="M25" s="55">
        <v>26.094846589216562</v>
      </c>
      <c r="N25" s="55">
        <v>25.81081369307881</v>
      </c>
      <c r="O25" s="55">
        <v>25.546198241748382</v>
      </c>
      <c r="P25" s="55">
        <v>25.311862130707251</v>
      </c>
      <c r="Q25" s="55">
        <v>25.034836817015034</v>
      </c>
      <c r="R25" s="55">
        <v>24.774688578718294</v>
      </c>
      <c r="S25" s="55">
        <v>24.540146746879021</v>
      </c>
      <c r="T25" s="55">
        <v>24.244317638432847</v>
      </c>
      <c r="U25" s="55">
        <v>24.185236481739302</v>
      </c>
      <c r="V25" s="55">
        <v>24.172742828297146</v>
      </c>
      <c r="W25" s="55">
        <v>24.093981549893396</v>
      </c>
      <c r="X25" s="55">
        <v>23.927267545060076</v>
      </c>
      <c r="Y25" s="55">
        <v>23.90162929238825</v>
      </c>
      <c r="Z25" s="55">
        <v>24.069245610573557</v>
      </c>
      <c r="AA25" s="55">
        <v>23.970434841885258</v>
      </c>
      <c r="AB25" s="55">
        <v>24.032205526379201</v>
      </c>
    </row>
    <row r="26" spans="1:28" ht="13.5">
      <c r="A26" s="168"/>
      <c r="B26" s="12"/>
      <c r="C26" s="12" t="s">
        <v>11</v>
      </c>
      <c r="D26" s="12"/>
      <c r="E26" s="12"/>
      <c r="F26" s="55">
        <v>26.847242921013414</v>
      </c>
      <c r="G26" s="55">
        <v>26.847667638483966</v>
      </c>
      <c r="H26" s="55">
        <v>27.059291395516993</v>
      </c>
      <c r="I26" s="55">
        <v>27.192779783393501</v>
      </c>
      <c r="J26" s="55">
        <v>26.856840620592383</v>
      </c>
      <c r="K26" s="55">
        <v>26.802366040361864</v>
      </c>
      <c r="L26" s="55">
        <v>26.609375</v>
      </c>
      <c r="M26" s="55">
        <v>26.126143790849675</v>
      </c>
      <c r="N26" s="55">
        <v>26.022292993630572</v>
      </c>
      <c r="O26" s="55">
        <v>25.466543891958256</v>
      </c>
      <c r="P26" s="55">
        <v>25.182912154031289</v>
      </c>
      <c r="Q26" s="55">
        <v>25.235472154963681</v>
      </c>
      <c r="R26" s="55">
        <v>25.129775621588841</v>
      </c>
      <c r="S26" s="55">
        <v>24.982613908872903</v>
      </c>
      <c r="T26" s="55">
        <v>24.851408028759735</v>
      </c>
      <c r="U26" s="55">
        <v>24.803956834532375</v>
      </c>
      <c r="V26" s="55">
        <v>24.723480333730631</v>
      </c>
      <c r="W26" s="55">
        <v>24.714285714285715</v>
      </c>
      <c r="X26" s="55">
        <v>24.595446584938703</v>
      </c>
      <c r="Y26" s="55">
        <v>24.396182764603818</v>
      </c>
      <c r="Z26" s="55">
        <v>24.593100448676861</v>
      </c>
      <c r="AA26" s="55">
        <v>24.530369085389513</v>
      </c>
      <c r="AB26" s="55">
        <v>24.678243105209397</v>
      </c>
    </row>
    <row r="27" spans="1:28" ht="13.5">
      <c r="A27" s="168"/>
      <c r="B27" s="12"/>
      <c r="C27" s="12" t="s">
        <v>17</v>
      </c>
      <c r="D27" s="12"/>
      <c r="E27" s="12"/>
      <c r="F27" s="55">
        <v>18.765625</v>
      </c>
      <c r="G27" s="55">
        <v>19.924242424242426</v>
      </c>
      <c r="H27" s="55">
        <v>17.078947368421051</v>
      </c>
      <c r="I27" s="55">
        <v>19.637681159420289</v>
      </c>
      <c r="J27" s="55">
        <v>21.271186440677965</v>
      </c>
      <c r="K27" s="55">
        <v>19.229508196721312</v>
      </c>
      <c r="L27" s="55">
        <v>20.160714285714285</v>
      </c>
      <c r="M27" s="55">
        <v>20.333333333333332</v>
      </c>
      <c r="N27" s="55">
        <v>19.642857142857142</v>
      </c>
      <c r="O27" s="55">
        <v>19.69811320754717</v>
      </c>
      <c r="P27" s="55">
        <v>18.968253968253968</v>
      </c>
      <c r="Q27" s="55">
        <v>18.51923076923077</v>
      </c>
      <c r="R27" s="55">
        <v>18.78846153846154</v>
      </c>
      <c r="S27" s="55">
        <v>19.25</v>
      </c>
      <c r="T27" s="55">
        <v>17.953125</v>
      </c>
      <c r="U27" s="55">
        <v>18.818181818181817</v>
      </c>
      <c r="V27" s="55">
        <v>17.690909090909091</v>
      </c>
      <c r="W27" s="55">
        <v>18.294117647058822</v>
      </c>
      <c r="X27" s="55">
        <v>16.666666666666668</v>
      </c>
      <c r="Y27" s="55">
        <v>17.073170731707318</v>
      </c>
      <c r="Z27" s="55">
        <v>16.477272727272727</v>
      </c>
      <c r="AA27" s="55">
        <v>15.760869565217391</v>
      </c>
      <c r="AB27" s="55">
        <v>17.044444444444444</v>
      </c>
    </row>
    <row r="28" spans="1:28" ht="13.5">
      <c r="A28" s="168"/>
      <c r="B28" s="13"/>
      <c r="C28" s="13" t="s">
        <v>18</v>
      </c>
      <c r="D28" s="13"/>
      <c r="E28" s="13"/>
      <c r="F28" s="55">
        <v>22.627869879792627</v>
      </c>
      <c r="G28" s="55">
        <v>23.807408603887364</v>
      </c>
      <c r="H28" s="55">
        <v>24.1</v>
      </c>
      <c r="I28" s="55">
        <v>24.305274971941639</v>
      </c>
      <c r="J28" s="55">
        <v>24.304054054054053</v>
      </c>
      <c r="K28" s="55">
        <v>22.438947368421054</v>
      </c>
      <c r="L28" s="55">
        <v>22.498673176945122</v>
      </c>
      <c r="M28" s="55">
        <v>22.584628263485587</v>
      </c>
      <c r="N28" s="55">
        <v>22.351892628709237</v>
      </c>
      <c r="O28" s="55">
        <v>22.060344827586206</v>
      </c>
      <c r="P28" s="55">
        <v>21.607734806629836</v>
      </c>
      <c r="Q28" s="55">
        <v>21.305066079295155</v>
      </c>
      <c r="R28" s="55">
        <v>21.390129522108083</v>
      </c>
      <c r="S28" s="55">
        <v>21.326111744583809</v>
      </c>
      <c r="T28" s="55">
        <v>21.148502994011977</v>
      </c>
      <c r="U28" s="55">
        <v>21.134253450439147</v>
      </c>
      <c r="V28" s="55">
        <v>21.175097276264591</v>
      </c>
      <c r="W28" s="55">
        <v>21.042895442359249</v>
      </c>
      <c r="X28" s="55">
        <v>20.8865836791148</v>
      </c>
      <c r="Y28" s="55">
        <v>20.407079646017699</v>
      </c>
      <c r="Z28" s="55">
        <v>20.828525641025642</v>
      </c>
      <c r="AA28" s="55">
        <v>20.284360189573459</v>
      </c>
      <c r="AB28" s="55">
        <v>20.235109717868337</v>
      </c>
    </row>
    <row r="29" spans="1:28" ht="13.5">
      <c r="A29" s="168"/>
      <c r="B29" s="9" t="s">
        <v>125</v>
      </c>
      <c r="C29" s="9"/>
      <c r="D29" s="9"/>
      <c r="E29" s="9"/>
      <c r="F29" s="52" t="s">
        <v>55</v>
      </c>
      <c r="G29" s="52" t="s">
        <v>55</v>
      </c>
      <c r="H29" s="52" t="s">
        <v>55</v>
      </c>
      <c r="I29" s="52" t="s">
        <v>55</v>
      </c>
      <c r="J29" s="52" t="s">
        <v>55</v>
      </c>
      <c r="K29" s="52" t="s">
        <v>55</v>
      </c>
      <c r="L29" s="52" t="s">
        <v>55</v>
      </c>
      <c r="M29" s="52" t="s">
        <v>55</v>
      </c>
      <c r="N29" s="52" t="s">
        <v>55</v>
      </c>
      <c r="O29" s="52" t="s">
        <v>55</v>
      </c>
      <c r="P29" s="52" t="s">
        <v>55</v>
      </c>
      <c r="Q29" s="52" t="s">
        <v>55</v>
      </c>
      <c r="R29" s="52" t="s">
        <v>55</v>
      </c>
      <c r="S29" s="52" t="s">
        <v>55</v>
      </c>
      <c r="T29" s="52" t="s">
        <v>55</v>
      </c>
      <c r="U29" s="52" t="s">
        <v>55</v>
      </c>
      <c r="V29" s="52" t="s">
        <v>55</v>
      </c>
      <c r="W29" s="52" t="s">
        <v>55</v>
      </c>
      <c r="X29" s="52" t="s">
        <v>55</v>
      </c>
      <c r="Y29" s="52" t="s">
        <v>55</v>
      </c>
      <c r="Z29" s="52" t="s">
        <v>55</v>
      </c>
      <c r="AA29" s="52" t="s">
        <v>55</v>
      </c>
      <c r="AB29" s="52" t="s">
        <v>55</v>
      </c>
    </row>
    <row r="30" spans="1:28" ht="13.5">
      <c r="A30" s="168"/>
      <c r="B30" s="11" t="s">
        <v>127</v>
      </c>
      <c r="C30" s="11"/>
      <c r="D30" s="11"/>
      <c r="E30" s="11"/>
      <c r="F30" s="80" t="s">
        <v>55</v>
      </c>
      <c r="G30" s="80" t="s">
        <v>55</v>
      </c>
      <c r="H30" s="80" t="s">
        <v>55</v>
      </c>
      <c r="I30" s="80" t="s">
        <v>55</v>
      </c>
      <c r="J30" s="80" t="s">
        <v>55</v>
      </c>
      <c r="K30" s="80" t="s">
        <v>55</v>
      </c>
      <c r="L30" s="80" t="s">
        <v>55</v>
      </c>
      <c r="M30" s="80" t="s">
        <v>55</v>
      </c>
      <c r="N30" s="80" t="s">
        <v>55</v>
      </c>
      <c r="O30" s="80" t="s">
        <v>55</v>
      </c>
      <c r="P30" s="80" t="s">
        <v>55</v>
      </c>
      <c r="Q30" s="80" t="s">
        <v>55</v>
      </c>
      <c r="R30" s="80" t="s">
        <v>55</v>
      </c>
      <c r="S30" s="80" t="s">
        <v>55</v>
      </c>
      <c r="T30" s="80" t="s">
        <v>55</v>
      </c>
      <c r="U30" s="80" t="s">
        <v>55</v>
      </c>
      <c r="V30" s="80" t="s">
        <v>55</v>
      </c>
      <c r="W30" s="80" t="s">
        <v>55</v>
      </c>
      <c r="X30" s="80" t="s">
        <v>55</v>
      </c>
      <c r="Y30" s="80" t="s">
        <v>55</v>
      </c>
      <c r="Z30" s="80" t="s">
        <v>55</v>
      </c>
      <c r="AA30" s="80" t="s">
        <v>55</v>
      </c>
      <c r="AB30" s="80" t="s">
        <v>55</v>
      </c>
    </row>
    <row r="31" spans="1:28" ht="13.5">
      <c r="A31" s="168"/>
      <c r="B31" s="12"/>
      <c r="C31" s="12" t="s">
        <v>16</v>
      </c>
      <c r="D31" s="12"/>
      <c r="E31" s="12"/>
      <c r="F31" s="50" t="s">
        <v>55</v>
      </c>
      <c r="G31" s="50" t="s">
        <v>55</v>
      </c>
      <c r="H31" s="50" t="s">
        <v>55</v>
      </c>
      <c r="I31" s="50" t="s">
        <v>55</v>
      </c>
      <c r="J31" s="50" t="s">
        <v>55</v>
      </c>
      <c r="K31" s="50" t="s">
        <v>55</v>
      </c>
      <c r="L31" s="50" t="s">
        <v>55</v>
      </c>
      <c r="M31" s="50" t="s">
        <v>55</v>
      </c>
      <c r="N31" s="50" t="s">
        <v>55</v>
      </c>
      <c r="O31" s="50" t="s">
        <v>55</v>
      </c>
      <c r="P31" s="50" t="s">
        <v>55</v>
      </c>
      <c r="Q31" s="50" t="s">
        <v>55</v>
      </c>
      <c r="R31" s="50" t="s">
        <v>55</v>
      </c>
      <c r="S31" s="50" t="s">
        <v>55</v>
      </c>
      <c r="T31" s="50" t="s">
        <v>55</v>
      </c>
      <c r="U31" s="50" t="s">
        <v>55</v>
      </c>
      <c r="V31" s="50" t="s">
        <v>55</v>
      </c>
      <c r="W31" s="50" t="s">
        <v>55</v>
      </c>
      <c r="X31" s="50" t="s">
        <v>55</v>
      </c>
      <c r="Y31" s="50" t="s">
        <v>55</v>
      </c>
      <c r="Z31" s="50" t="s">
        <v>55</v>
      </c>
      <c r="AA31" s="50" t="s">
        <v>55</v>
      </c>
      <c r="AB31" s="50" t="s">
        <v>55</v>
      </c>
    </row>
    <row r="32" spans="1:28" ht="13.5">
      <c r="A32" s="168"/>
      <c r="B32" s="12"/>
      <c r="C32" s="12" t="s">
        <v>187</v>
      </c>
      <c r="D32" s="12"/>
      <c r="E32" s="12"/>
      <c r="F32" s="50" t="s">
        <v>55</v>
      </c>
      <c r="G32" s="50" t="s">
        <v>55</v>
      </c>
      <c r="H32" s="50" t="s">
        <v>55</v>
      </c>
      <c r="I32" s="50" t="s">
        <v>55</v>
      </c>
      <c r="J32" s="50" t="s">
        <v>55</v>
      </c>
      <c r="K32" s="50" t="s">
        <v>55</v>
      </c>
      <c r="L32" s="50" t="s">
        <v>55</v>
      </c>
      <c r="M32" s="50" t="s">
        <v>55</v>
      </c>
      <c r="N32" s="50" t="s">
        <v>55</v>
      </c>
      <c r="O32" s="50" t="s">
        <v>55</v>
      </c>
      <c r="P32" s="50" t="s">
        <v>55</v>
      </c>
      <c r="Q32" s="50" t="s">
        <v>55</v>
      </c>
      <c r="R32" s="50" t="s">
        <v>55</v>
      </c>
      <c r="S32" s="50" t="s">
        <v>55</v>
      </c>
      <c r="T32" s="50" t="s">
        <v>55</v>
      </c>
      <c r="U32" s="50" t="s">
        <v>55</v>
      </c>
      <c r="V32" s="50" t="s">
        <v>55</v>
      </c>
      <c r="W32" s="50" t="s">
        <v>55</v>
      </c>
      <c r="X32" s="50" t="s">
        <v>55</v>
      </c>
      <c r="Y32" s="50" t="s">
        <v>55</v>
      </c>
      <c r="Z32" s="50" t="s">
        <v>55</v>
      </c>
      <c r="AA32" s="50" t="s">
        <v>55</v>
      </c>
      <c r="AB32" s="50" t="s">
        <v>55</v>
      </c>
    </row>
    <row r="33" spans="1:28" ht="13.5">
      <c r="A33" s="168"/>
      <c r="B33" s="12"/>
      <c r="C33" s="12" t="s">
        <v>11</v>
      </c>
      <c r="D33" s="12"/>
      <c r="E33" s="12"/>
      <c r="F33" s="50" t="s">
        <v>55</v>
      </c>
      <c r="G33" s="50" t="s">
        <v>55</v>
      </c>
      <c r="H33" s="50" t="s">
        <v>55</v>
      </c>
      <c r="I33" s="50" t="s">
        <v>55</v>
      </c>
      <c r="J33" s="50" t="s">
        <v>55</v>
      </c>
      <c r="K33" s="50" t="s">
        <v>55</v>
      </c>
      <c r="L33" s="50" t="s">
        <v>55</v>
      </c>
      <c r="M33" s="50" t="s">
        <v>55</v>
      </c>
      <c r="N33" s="50" t="s">
        <v>55</v>
      </c>
      <c r="O33" s="50" t="s">
        <v>55</v>
      </c>
      <c r="P33" s="50" t="s">
        <v>55</v>
      </c>
      <c r="Q33" s="50" t="s">
        <v>55</v>
      </c>
      <c r="R33" s="50" t="s">
        <v>55</v>
      </c>
      <c r="S33" s="50" t="s">
        <v>55</v>
      </c>
      <c r="T33" s="50" t="s">
        <v>55</v>
      </c>
      <c r="U33" s="50" t="s">
        <v>55</v>
      </c>
      <c r="V33" s="50" t="s">
        <v>55</v>
      </c>
      <c r="W33" s="50" t="s">
        <v>55</v>
      </c>
      <c r="X33" s="50" t="s">
        <v>55</v>
      </c>
      <c r="Y33" s="50" t="s">
        <v>55</v>
      </c>
      <c r="Z33" s="50" t="s">
        <v>55</v>
      </c>
      <c r="AA33" s="50" t="s">
        <v>55</v>
      </c>
      <c r="AB33" s="50" t="s">
        <v>55</v>
      </c>
    </row>
    <row r="34" spans="1:28" ht="13.5">
      <c r="A34" s="168"/>
      <c r="B34" s="12"/>
      <c r="C34" s="12" t="s">
        <v>19</v>
      </c>
      <c r="D34" s="12"/>
      <c r="E34" s="12"/>
      <c r="F34" s="50" t="s">
        <v>55</v>
      </c>
      <c r="G34" s="50" t="s">
        <v>55</v>
      </c>
      <c r="H34" s="50" t="s">
        <v>55</v>
      </c>
      <c r="I34" s="50" t="s">
        <v>55</v>
      </c>
      <c r="J34" s="50" t="s">
        <v>55</v>
      </c>
      <c r="K34" s="50" t="s">
        <v>55</v>
      </c>
      <c r="L34" s="50" t="s">
        <v>55</v>
      </c>
      <c r="M34" s="50" t="s">
        <v>55</v>
      </c>
      <c r="N34" s="50" t="s">
        <v>55</v>
      </c>
      <c r="O34" s="50" t="s">
        <v>55</v>
      </c>
      <c r="P34" s="50" t="s">
        <v>55</v>
      </c>
      <c r="Q34" s="50" t="s">
        <v>55</v>
      </c>
      <c r="R34" s="50" t="s">
        <v>55</v>
      </c>
      <c r="S34" s="50" t="s">
        <v>55</v>
      </c>
      <c r="T34" s="50" t="s">
        <v>55</v>
      </c>
      <c r="U34" s="50" t="s">
        <v>55</v>
      </c>
      <c r="V34" s="50" t="s">
        <v>55</v>
      </c>
      <c r="W34" s="50" t="s">
        <v>55</v>
      </c>
      <c r="X34" s="50" t="s">
        <v>55</v>
      </c>
      <c r="Y34" s="50" t="s">
        <v>55</v>
      </c>
      <c r="Z34" s="50" t="s">
        <v>55</v>
      </c>
      <c r="AA34" s="50" t="s">
        <v>55</v>
      </c>
      <c r="AB34" s="50" t="s">
        <v>55</v>
      </c>
    </row>
    <row r="35" spans="1:28" ht="13.5">
      <c r="A35" s="168"/>
      <c r="B35" s="14"/>
      <c r="C35" s="14" t="s">
        <v>20</v>
      </c>
      <c r="D35" s="14"/>
      <c r="E35" s="14"/>
      <c r="F35" s="50" t="s">
        <v>55</v>
      </c>
      <c r="G35" s="50" t="s">
        <v>55</v>
      </c>
      <c r="H35" s="50" t="s">
        <v>55</v>
      </c>
      <c r="I35" s="50" t="s">
        <v>55</v>
      </c>
      <c r="J35" s="50" t="s">
        <v>55</v>
      </c>
      <c r="K35" s="50" t="s">
        <v>55</v>
      </c>
      <c r="L35" s="50" t="s">
        <v>55</v>
      </c>
      <c r="M35" s="50" t="s">
        <v>55</v>
      </c>
      <c r="N35" s="50" t="s">
        <v>55</v>
      </c>
      <c r="O35" s="50" t="s">
        <v>55</v>
      </c>
      <c r="P35" s="50" t="s">
        <v>55</v>
      </c>
      <c r="Q35" s="50" t="s">
        <v>55</v>
      </c>
      <c r="R35" s="50" t="s">
        <v>55</v>
      </c>
      <c r="S35" s="50" t="s">
        <v>55</v>
      </c>
      <c r="T35" s="50" t="s">
        <v>55</v>
      </c>
      <c r="U35" s="50" t="s">
        <v>55</v>
      </c>
      <c r="V35" s="50" t="s">
        <v>55</v>
      </c>
      <c r="W35" s="50" t="s">
        <v>55</v>
      </c>
      <c r="X35" s="50" t="s">
        <v>55</v>
      </c>
      <c r="Y35" s="50" t="s">
        <v>55</v>
      </c>
      <c r="Z35" s="50" t="s">
        <v>55</v>
      </c>
      <c r="AA35" s="50" t="s">
        <v>55</v>
      </c>
      <c r="AB35" s="50" t="s">
        <v>55</v>
      </c>
    </row>
    <row r="36" spans="1:28" ht="16.5" customHeight="1">
      <c r="A36" s="168"/>
      <c r="B36" s="15"/>
      <c r="C36" s="15"/>
      <c r="D36" s="15"/>
      <c r="E36" s="15"/>
      <c r="F36" s="57"/>
      <c r="G36" s="57"/>
      <c r="H36" s="57"/>
      <c r="I36" s="57"/>
      <c r="J36" s="57"/>
      <c r="K36" s="57"/>
      <c r="L36" s="57"/>
      <c r="M36" s="57"/>
      <c r="N36" s="57"/>
      <c r="O36" s="57"/>
      <c r="P36" s="57"/>
      <c r="Q36" s="57"/>
      <c r="R36" s="57"/>
      <c r="S36" s="57"/>
      <c r="T36" s="57"/>
      <c r="U36" s="57"/>
      <c r="V36" s="57"/>
      <c r="W36" s="57"/>
      <c r="X36" s="57"/>
      <c r="Y36" s="57"/>
      <c r="Z36" s="57"/>
      <c r="AA36" s="57"/>
      <c r="AB36" s="57"/>
    </row>
    <row r="37" spans="1:28" ht="13.5">
      <c r="A37" s="168">
        <v>70</v>
      </c>
      <c r="B37" s="10" t="s">
        <v>128</v>
      </c>
      <c r="C37" s="10"/>
      <c r="D37" s="10"/>
      <c r="E37" s="10"/>
      <c r="F37" s="66" t="s">
        <v>55</v>
      </c>
      <c r="G37" s="66" t="s">
        <v>55</v>
      </c>
      <c r="H37" s="66" t="s">
        <v>55</v>
      </c>
      <c r="I37" s="66" t="s">
        <v>55</v>
      </c>
      <c r="J37" s="66" t="s">
        <v>55</v>
      </c>
      <c r="K37" s="66" t="s">
        <v>55</v>
      </c>
      <c r="L37" s="66" t="s">
        <v>55</v>
      </c>
      <c r="M37" s="66" t="s">
        <v>55</v>
      </c>
      <c r="N37" s="66" t="s">
        <v>55</v>
      </c>
      <c r="O37" s="66" t="s">
        <v>55</v>
      </c>
      <c r="P37" s="66" t="s">
        <v>55</v>
      </c>
      <c r="Q37" s="66" t="s">
        <v>55</v>
      </c>
      <c r="R37" s="66" t="s">
        <v>55</v>
      </c>
      <c r="S37" s="66" t="s">
        <v>55</v>
      </c>
      <c r="T37" s="66" t="s">
        <v>55</v>
      </c>
      <c r="U37" s="66" t="s">
        <v>55</v>
      </c>
      <c r="V37" s="66" t="s">
        <v>55</v>
      </c>
      <c r="W37" s="66" t="s">
        <v>55</v>
      </c>
      <c r="X37" s="66" t="s">
        <v>55</v>
      </c>
      <c r="Y37" s="66" t="s">
        <v>55</v>
      </c>
      <c r="Z37" s="66" t="s">
        <v>55</v>
      </c>
      <c r="AA37" s="66" t="s">
        <v>55</v>
      </c>
      <c r="AB37" s="66" t="s">
        <v>55</v>
      </c>
    </row>
    <row r="38" spans="1:28" ht="13.5">
      <c r="A38" s="168"/>
      <c r="B38" s="12"/>
      <c r="C38" s="12" t="s">
        <v>21</v>
      </c>
      <c r="D38" s="12"/>
      <c r="E38" s="12"/>
      <c r="F38" s="67">
        <v>19.776661654776756</v>
      </c>
      <c r="G38" s="67">
        <v>19.64404999133599</v>
      </c>
      <c r="H38" s="67">
        <v>19.701311773136549</v>
      </c>
      <c r="I38" s="67">
        <v>19.667871747109459</v>
      </c>
      <c r="J38" s="67">
        <v>19.756260765867232</v>
      </c>
      <c r="K38" s="67">
        <v>19.871287886240175</v>
      </c>
      <c r="L38" s="67">
        <v>19.835816842974129</v>
      </c>
      <c r="M38" s="67">
        <v>19.527173073953993</v>
      </c>
      <c r="N38" s="67">
        <v>19.256972405267156</v>
      </c>
      <c r="O38" s="67">
        <v>19.098518154372965</v>
      </c>
      <c r="P38" s="67">
        <v>19.044034836554523</v>
      </c>
      <c r="Q38" s="67">
        <v>19.033906783796976</v>
      </c>
      <c r="R38" s="67">
        <v>18.975687628891595</v>
      </c>
      <c r="S38" s="67">
        <v>18.98465710770158</v>
      </c>
      <c r="T38" s="67">
        <v>18.913670297393221</v>
      </c>
      <c r="U38" s="67">
        <v>18.924373677216124</v>
      </c>
      <c r="V38" s="67">
        <v>18.973923665644556</v>
      </c>
      <c r="W38" s="67">
        <v>18.906543648546386</v>
      </c>
      <c r="X38" s="67">
        <v>18.408643500184635</v>
      </c>
      <c r="Y38" s="67">
        <v>18.366365083679572</v>
      </c>
      <c r="Z38" s="67">
        <v>18.358748088010355</v>
      </c>
      <c r="AA38" s="67">
        <v>18.382763639364459</v>
      </c>
      <c r="AB38" s="67">
        <v>18.462050016089915</v>
      </c>
    </row>
    <row r="39" spans="1:28" ht="13.5">
      <c r="A39" s="168"/>
      <c r="B39" s="12"/>
      <c r="C39" s="12"/>
      <c r="D39" s="12" t="s">
        <v>22</v>
      </c>
      <c r="E39" s="12"/>
      <c r="F39" s="55">
        <v>19.984122774651784</v>
      </c>
      <c r="G39" s="55">
        <v>19.862973829639319</v>
      </c>
      <c r="H39" s="55">
        <v>19.95067264573991</v>
      </c>
      <c r="I39" s="55">
        <v>19.929205028967043</v>
      </c>
      <c r="J39" s="55">
        <v>20.036532856783047</v>
      </c>
      <c r="K39" s="55">
        <v>20.164724850539002</v>
      </c>
      <c r="L39" s="55">
        <v>20.093275916102748</v>
      </c>
      <c r="M39" s="55">
        <v>19.764263278796118</v>
      </c>
      <c r="N39" s="55">
        <v>19.499831325301205</v>
      </c>
      <c r="O39" s="55">
        <v>19.321166372736453</v>
      </c>
      <c r="P39" s="55">
        <v>19.272097316709239</v>
      </c>
      <c r="Q39" s="55">
        <v>19.253995780972964</v>
      </c>
      <c r="R39" s="55">
        <v>19.202597161918881</v>
      </c>
      <c r="S39" s="55">
        <v>19.232343840780423</v>
      </c>
      <c r="T39" s="55">
        <v>19.253587800797138</v>
      </c>
      <c r="U39" s="55">
        <v>19.287673853048066</v>
      </c>
      <c r="V39" s="55">
        <v>19.334065124904548</v>
      </c>
      <c r="W39" s="55">
        <v>19.238009574378331</v>
      </c>
      <c r="X39" s="55">
        <v>18.741075868928551</v>
      </c>
      <c r="Y39" s="55">
        <v>18.67309284281124</v>
      </c>
      <c r="Z39" s="55">
        <v>18.585018672795172</v>
      </c>
      <c r="AA39" s="55">
        <v>18.64414561924217</v>
      </c>
      <c r="AB39" s="55">
        <v>18.693496221463448</v>
      </c>
    </row>
    <row r="40" spans="1:28" ht="13.5">
      <c r="A40" s="168"/>
      <c r="B40" s="12"/>
      <c r="C40" s="12"/>
      <c r="D40" s="12" t="s">
        <v>23</v>
      </c>
      <c r="E40" s="12"/>
      <c r="F40" s="55">
        <v>15.557125796178344</v>
      </c>
      <c r="G40" s="55">
        <v>15.207420222991157</v>
      </c>
      <c r="H40" s="55">
        <v>15.004470106165021</v>
      </c>
      <c r="I40" s="55">
        <v>14.761452195400114</v>
      </c>
      <c r="J40" s="55">
        <v>14.517867958812841</v>
      </c>
      <c r="K40" s="55">
        <v>13.918609865470852</v>
      </c>
      <c r="L40" s="55">
        <v>13.832416208104052</v>
      </c>
      <c r="M40" s="55">
        <v>13.904955527318933</v>
      </c>
      <c r="N40" s="55">
        <v>13.609403729971106</v>
      </c>
      <c r="O40" s="55">
        <v>13.690556115027414</v>
      </c>
      <c r="P40" s="55">
        <v>13.611266034578918</v>
      </c>
      <c r="Q40" s="55">
        <v>13.766778523489933</v>
      </c>
      <c r="R40" s="55">
        <v>14.002357255107386</v>
      </c>
      <c r="S40" s="55">
        <v>14.710024669208343</v>
      </c>
      <c r="T40" s="55">
        <v>15.701580020387359</v>
      </c>
      <c r="U40" s="55">
        <v>15.456333290205718</v>
      </c>
      <c r="V40" s="55">
        <v>14.96274240342037</v>
      </c>
      <c r="W40" s="55">
        <v>14.852622814321398</v>
      </c>
      <c r="X40" s="55">
        <v>14.30217539089055</v>
      </c>
      <c r="Y40" s="55">
        <v>14.513867085295656</v>
      </c>
      <c r="Z40" s="55">
        <v>15.930025637158799</v>
      </c>
      <c r="AA40" s="55">
        <v>15.977775250597075</v>
      </c>
      <c r="AB40" s="55">
        <v>16.564172980842393</v>
      </c>
    </row>
    <row r="41" spans="1:28" ht="13.5">
      <c r="A41" s="168"/>
      <c r="B41" s="12"/>
      <c r="C41" s="12"/>
      <c r="D41" s="12" t="s">
        <v>24</v>
      </c>
      <c r="E41" s="12"/>
      <c r="F41" s="55">
        <v>21.36</v>
      </c>
      <c r="G41" s="55">
        <v>21.629025143361272</v>
      </c>
      <c r="H41" s="55">
        <v>21.672461116193961</v>
      </c>
      <c r="I41" s="55">
        <v>21.46252204585538</v>
      </c>
      <c r="J41" s="55">
        <v>20.910026857654433</v>
      </c>
      <c r="K41" s="55">
        <v>20.655658086449733</v>
      </c>
      <c r="L41" s="55">
        <v>20.78263130525221</v>
      </c>
      <c r="M41" s="55">
        <v>20.86187455954898</v>
      </c>
      <c r="N41" s="55">
        <v>20.24302496328928</v>
      </c>
      <c r="O41" s="55">
        <v>20.170073589533931</v>
      </c>
      <c r="P41" s="55">
        <v>20.299479166666668</v>
      </c>
      <c r="Q41" s="55">
        <v>20.674439461883409</v>
      </c>
      <c r="R41" s="55">
        <v>20.606890459363957</v>
      </c>
      <c r="S41" s="55">
        <v>19.604591836734695</v>
      </c>
      <c r="T41" s="55">
        <v>19.544412607449857</v>
      </c>
      <c r="U41" s="55">
        <v>19.542028985507248</v>
      </c>
      <c r="V41" s="55">
        <v>18.557184750733139</v>
      </c>
      <c r="W41" s="55">
        <v>18.86024844720497</v>
      </c>
      <c r="X41" s="55">
        <v>18.785440613026822</v>
      </c>
      <c r="Y41" s="55">
        <v>19.250980392156862</v>
      </c>
      <c r="Z41" s="55">
        <v>19.824999999999999</v>
      </c>
      <c r="AA41" s="55">
        <v>20.06276150627615</v>
      </c>
      <c r="AB41" s="55">
        <v>19.919831223628691</v>
      </c>
    </row>
    <row r="42" spans="1:28" ht="13.5">
      <c r="A42" s="168"/>
      <c r="B42" s="12"/>
      <c r="C42" s="12" t="s">
        <v>25</v>
      </c>
      <c r="D42" s="12"/>
      <c r="E42" s="12"/>
      <c r="F42" s="55">
        <v>25.241379310344829</v>
      </c>
      <c r="G42" s="55">
        <v>25.678571428571427</v>
      </c>
      <c r="H42" s="55">
        <v>25.807692307692307</v>
      </c>
      <c r="I42" s="55">
        <v>25.333333333333332</v>
      </c>
      <c r="J42" s="55">
        <v>22.5</v>
      </c>
      <c r="K42" s="55">
        <v>21.192307692307693</v>
      </c>
      <c r="L42" s="55">
        <v>20.541666666666668</v>
      </c>
      <c r="M42" s="55">
        <v>24.833333333333332</v>
      </c>
      <c r="N42" s="55">
        <v>21.32</v>
      </c>
      <c r="O42" s="55">
        <v>20.913043478260871</v>
      </c>
      <c r="P42" s="55">
        <v>20.333333333333332</v>
      </c>
      <c r="Q42" s="55">
        <v>21.176470588235293</v>
      </c>
      <c r="R42" s="55">
        <v>19.866666666666667</v>
      </c>
      <c r="S42" s="55">
        <v>18.153846153846153</v>
      </c>
      <c r="T42" s="55">
        <v>16.333333333333332</v>
      </c>
      <c r="U42" s="55">
        <v>14.75</v>
      </c>
      <c r="V42" s="55">
        <v>15</v>
      </c>
      <c r="W42" s="55">
        <v>12.75</v>
      </c>
      <c r="X42" s="55">
        <v>14</v>
      </c>
      <c r="Y42" s="55">
        <v>16.5</v>
      </c>
      <c r="Z42" s="55">
        <v>26</v>
      </c>
      <c r="AA42" s="55">
        <v>0</v>
      </c>
      <c r="AB42" s="55">
        <v>21</v>
      </c>
    </row>
    <row r="43" spans="1:28" ht="13.5">
      <c r="A43" s="168"/>
      <c r="B43" s="12"/>
      <c r="C43" s="12" t="s">
        <v>26</v>
      </c>
      <c r="D43" s="12"/>
      <c r="E43" s="12"/>
      <c r="F43" s="55">
        <v>22.007299270072991</v>
      </c>
      <c r="G43" s="55">
        <v>22.226187820655809</v>
      </c>
      <c r="H43" s="55">
        <v>22.330598952965911</v>
      </c>
      <c r="I43" s="55">
        <v>22.177732056659018</v>
      </c>
      <c r="J43" s="55">
        <v>21.973727103384043</v>
      </c>
      <c r="K43" s="55">
        <v>21.517286154844992</v>
      </c>
      <c r="L43" s="55">
        <v>21.338972431077693</v>
      </c>
      <c r="M43" s="55">
        <v>21.201791247506261</v>
      </c>
      <c r="N43" s="55">
        <v>20.858683851389358</v>
      </c>
      <c r="O43" s="55">
        <v>20.561572149056929</v>
      </c>
      <c r="P43" s="55">
        <v>20.630105292978893</v>
      </c>
      <c r="Q43" s="55">
        <v>20.737748280671379</v>
      </c>
      <c r="R43" s="55">
        <v>20.700272214660703</v>
      </c>
      <c r="S43" s="55">
        <v>20.570924185314183</v>
      </c>
      <c r="T43" s="55">
        <v>20.402522990996196</v>
      </c>
      <c r="U43" s="55">
        <v>20.266024560558634</v>
      </c>
      <c r="V43" s="55">
        <v>20.180966708725613</v>
      </c>
      <c r="W43" s="55">
        <v>20.088375089058275</v>
      </c>
      <c r="X43" s="55">
        <v>20.127681208541134</v>
      </c>
      <c r="Y43" s="55">
        <v>19.727375012229722</v>
      </c>
      <c r="Z43" s="55">
        <v>19.30639833307923</v>
      </c>
      <c r="AA43" s="55">
        <v>19.502861738107743</v>
      </c>
      <c r="AB43" s="55">
        <v>19.67767807799612</v>
      </c>
    </row>
    <row r="44" spans="1:28" ht="13.5">
      <c r="A44" s="168"/>
      <c r="B44" s="12"/>
      <c r="C44" s="12" t="s">
        <v>27</v>
      </c>
      <c r="D44" s="12"/>
      <c r="E44" s="12"/>
      <c r="F44" s="55">
        <v>24.309941520467838</v>
      </c>
      <c r="G44" s="55">
        <v>24.287744227353464</v>
      </c>
      <c r="H44" s="55">
        <v>24.134986225895318</v>
      </c>
      <c r="I44" s="55">
        <v>23.245721271393641</v>
      </c>
      <c r="J44" s="55">
        <v>22.421296296296298</v>
      </c>
      <c r="K44" s="55">
        <v>22.46441073512252</v>
      </c>
      <c r="L44" s="55">
        <v>23.191126279863482</v>
      </c>
      <c r="M44" s="55">
        <v>23.757028112449799</v>
      </c>
      <c r="N44" s="55">
        <v>22.608615948670945</v>
      </c>
      <c r="O44" s="55">
        <v>22.414479638009048</v>
      </c>
      <c r="P44" s="55">
        <v>21.678504672897198</v>
      </c>
      <c r="Q44" s="55">
        <v>21.391262135922329</v>
      </c>
      <c r="R44" s="55">
        <v>20.91733870967742</v>
      </c>
      <c r="S44" s="55">
        <v>20.887799564270153</v>
      </c>
      <c r="T44" s="55">
        <v>20.110189573459717</v>
      </c>
      <c r="U44" s="55">
        <v>19.641558441558441</v>
      </c>
      <c r="V44" s="55">
        <v>18.617250673854446</v>
      </c>
      <c r="W44" s="55">
        <v>17.836017569546119</v>
      </c>
      <c r="X44" s="55">
        <v>17.346564885496182</v>
      </c>
      <c r="Y44" s="55">
        <v>17.288819875776397</v>
      </c>
      <c r="Z44" s="55">
        <v>17.079365079365079</v>
      </c>
      <c r="AA44" s="55">
        <v>15.913127413127413</v>
      </c>
      <c r="AB44" s="55">
        <v>15.658174097664544</v>
      </c>
    </row>
    <row r="45" spans="1:28" ht="13.5">
      <c r="A45" s="168"/>
      <c r="B45" s="12"/>
      <c r="C45" s="12" t="s">
        <v>28</v>
      </c>
      <c r="D45" s="12"/>
      <c r="E45" s="12"/>
      <c r="F45" s="53" t="s">
        <v>55</v>
      </c>
      <c r="G45" s="53" t="s">
        <v>55</v>
      </c>
      <c r="H45" s="53" t="s">
        <v>55</v>
      </c>
      <c r="I45" s="53" t="s">
        <v>55</v>
      </c>
      <c r="J45" s="53" t="s">
        <v>55</v>
      </c>
      <c r="K45" s="53" t="s">
        <v>55</v>
      </c>
      <c r="L45" s="53" t="s">
        <v>55</v>
      </c>
      <c r="M45" s="53" t="s">
        <v>55</v>
      </c>
      <c r="N45" s="53" t="s">
        <v>55</v>
      </c>
      <c r="O45" s="53" t="s">
        <v>55</v>
      </c>
      <c r="P45" s="53" t="s">
        <v>55</v>
      </c>
      <c r="Q45" s="53" t="s">
        <v>55</v>
      </c>
      <c r="R45" s="53" t="s">
        <v>55</v>
      </c>
      <c r="S45" s="53" t="s">
        <v>55</v>
      </c>
      <c r="T45" s="53" t="s">
        <v>55</v>
      </c>
      <c r="U45" s="53" t="s">
        <v>55</v>
      </c>
      <c r="V45" s="53" t="s">
        <v>55</v>
      </c>
      <c r="W45" s="53" t="s">
        <v>55</v>
      </c>
      <c r="X45" s="53" t="s">
        <v>55</v>
      </c>
      <c r="Y45" s="53" t="s">
        <v>55</v>
      </c>
      <c r="Z45" s="53" t="s">
        <v>55</v>
      </c>
      <c r="AA45" s="53" t="s">
        <v>55</v>
      </c>
      <c r="AB45" s="53" t="s">
        <v>55</v>
      </c>
    </row>
    <row r="46" spans="1:28" ht="13.5">
      <c r="A46" s="168"/>
      <c r="B46" s="12"/>
      <c r="C46" s="12" t="s">
        <v>29</v>
      </c>
      <c r="D46" s="12"/>
      <c r="E46" s="12"/>
      <c r="F46" s="55">
        <v>23.787410394265233</v>
      </c>
      <c r="G46" s="55">
        <v>23.957002457002456</v>
      </c>
      <c r="H46" s="55">
        <v>23.834116725421072</v>
      </c>
      <c r="I46" s="55">
        <v>23.694150943396227</v>
      </c>
      <c r="J46" s="55">
        <v>23.653957879448075</v>
      </c>
      <c r="K46" s="55">
        <v>23.224686940966009</v>
      </c>
      <c r="L46" s="55">
        <v>23.42266782911944</v>
      </c>
      <c r="M46" s="55">
        <v>23.594180961991256</v>
      </c>
      <c r="N46" s="55">
        <v>23.088961156874721</v>
      </c>
      <c r="O46" s="55">
        <v>22.802786531763143</v>
      </c>
      <c r="P46" s="55">
        <v>22.679851250845164</v>
      </c>
      <c r="Q46" s="55">
        <v>22.749500998003992</v>
      </c>
      <c r="R46" s="55">
        <v>22.754932333278983</v>
      </c>
      <c r="S46" s="55">
        <v>22.579339378238341</v>
      </c>
      <c r="T46" s="55">
        <v>22.244800000000001</v>
      </c>
      <c r="U46" s="55">
        <v>21.881067180970749</v>
      </c>
      <c r="V46" s="55">
        <v>21.479344371968558</v>
      </c>
      <c r="W46" s="55">
        <v>21.208145580589253</v>
      </c>
      <c r="X46" s="55">
        <v>21.364699720670391</v>
      </c>
      <c r="Y46" s="55">
        <v>21.210480501392759</v>
      </c>
      <c r="Z46" s="55">
        <v>21.289124192390524</v>
      </c>
      <c r="AA46" s="55">
        <v>20.68712094184805</v>
      </c>
      <c r="AB46" s="55">
        <v>20.938663745892704</v>
      </c>
    </row>
    <row r="47" spans="1:28" ht="13.5">
      <c r="A47" s="168"/>
      <c r="B47" s="12"/>
      <c r="C47" s="12" t="s">
        <v>30</v>
      </c>
      <c r="D47" s="12"/>
      <c r="E47" s="12"/>
      <c r="F47" s="55">
        <v>20.276485116339529</v>
      </c>
      <c r="G47" s="55">
        <v>20.585550842010541</v>
      </c>
      <c r="H47" s="55">
        <v>20.579345088161208</v>
      </c>
      <c r="I47" s="55">
        <v>20.548089948523437</v>
      </c>
      <c r="J47" s="55">
        <v>20.143155840535265</v>
      </c>
      <c r="K47" s="55">
        <v>20.070778145695364</v>
      </c>
      <c r="L47" s="55">
        <v>20.646508474576272</v>
      </c>
      <c r="M47" s="55">
        <v>21.16382468106606</v>
      </c>
      <c r="N47" s="55">
        <v>21.159918052542782</v>
      </c>
      <c r="O47" s="55">
        <v>21.018503433026883</v>
      </c>
      <c r="P47" s="55">
        <v>20.405685323931248</v>
      </c>
      <c r="Q47" s="55">
        <v>21.047613799184393</v>
      </c>
      <c r="R47" s="55">
        <v>20.826531710993862</v>
      </c>
      <c r="S47" s="55">
        <v>20.444075778657819</v>
      </c>
      <c r="T47" s="55">
        <v>20.19388853023456</v>
      </c>
      <c r="U47" s="55">
        <v>19.82275734895325</v>
      </c>
      <c r="V47" s="55">
        <v>19.704605263157895</v>
      </c>
      <c r="W47" s="55">
        <v>19.495343486359154</v>
      </c>
      <c r="X47" s="55">
        <v>19.347978142076503</v>
      </c>
      <c r="Y47" s="55">
        <v>19.090160381447767</v>
      </c>
      <c r="Z47" s="55">
        <v>18.630084935181046</v>
      </c>
      <c r="AA47" s="55">
        <v>18.309813924468763</v>
      </c>
      <c r="AB47" s="55">
        <v>18.010250972074953</v>
      </c>
    </row>
    <row r="48" spans="1:28" ht="13.5">
      <c r="A48" s="168"/>
      <c r="B48" s="12"/>
      <c r="C48" s="12" t="s">
        <v>31</v>
      </c>
      <c r="D48" s="12"/>
      <c r="E48" s="12"/>
      <c r="F48" s="53" t="s">
        <v>55</v>
      </c>
      <c r="G48" s="53" t="s">
        <v>55</v>
      </c>
      <c r="H48" s="53" t="s">
        <v>55</v>
      </c>
      <c r="I48" s="53" t="s">
        <v>55</v>
      </c>
      <c r="J48" s="53" t="s">
        <v>55</v>
      </c>
      <c r="K48" s="53" t="s">
        <v>55</v>
      </c>
      <c r="L48" s="53" t="s">
        <v>55</v>
      </c>
      <c r="M48" s="53" t="s">
        <v>55</v>
      </c>
      <c r="N48" s="53" t="s">
        <v>55</v>
      </c>
      <c r="O48" s="53" t="s">
        <v>55</v>
      </c>
      <c r="P48" s="53" t="s">
        <v>55</v>
      </c>
      <c r="Q48" s="53" t="s">
        <v>55</v>
      </c>
      <c r="R48" s="53" t="s">
        <v>55</v>
      </c>
      <c r="S48" s="53" t="s">
        <v>55</v>
      </c>
      <c r="T48" s="53" t="s">
        <v>55</v>
      </c>
      <c r="U48" s="53" t="s">
        <v>55</v>
      </c>
      <c r="V48" s="53" t="s">
        <v>55</v>
      </c>
      <c r="W48" s="53" t="s">
        <v>55</v>
      </c>
      <c r="X48" s="53" t="s">
        <v>55</v>
      </c>
      <c r="Y48" s="53" t="s">
        <v>55</v>
      </c>
      <c r="Z48" s="53" t="s">
        <v>55</v>
      </c>
      <c r="AA48" s="53" t="s">
        <v>55</v>
      </c>
      <c r="AB48" s="53" t="s">
        <v>55</v>
      </c>
    </row>
    <row r="49" spans="1:28" ht="13.5">
      <c r="A49" s="168"/>
      <c r="B49" s="16" t="s">
        <v>129</v>
      </c>
      <c r="C49" s="16"/>
      <c r="D49" s="16"/>
      <c r="E49" s="16"/>
      <c r="F49" s="68" t="s">
        <v>55</v>
      </c>
      <c r="G49" s="68" t="s">
        <v>55</v>
      </c>
      <c r="H49" s="68" t="s">
        <v>55</v>
      </c>
      <c r="I49" s="68" t="s">
        <v>55</v>
      </c>
      <c r="J49" s="68" t="s">
        <v>55</v>
      </c>
      <c r="K49" s="68" t="s">
        <v>55</v>
      </c>
      <c r="L49" s="68" t="s">
        <v>55</v>
      </c>
      <c r="M49" s="68" t="s">
        <v>55</v>
      </c>
      <c r="N49" s="68" t="s">
        <v>55</v>
      </c>
      <c r="O49" s="68" t="s">
        <v>55</v>
      </c>
      <c r="P49" s="68" t="s">
        <v>55</v>
      </c>
      <c r="Q49" s="68" t="s">
        <v>55</v>
      </c>
      <c r="R49" s="68" t="s">
        <v>55</v>
      </c>
      <c r="S49" s="68" t="s">
        <v>55</v>
      </c>
      <c r="T49" s="68" t="s">
        <v>55</v>
      </c>
      <c r="U49" s="68" t="s">
        <v>55</v>
      </c>
      <c r="V49" s="68" t="s">
        <v>55</v>
      </c>
      <c r="W49" s="68" t="s">
        <v>55</v>
      </c>
      <c r="X49" s="68" t="s">
        <v>55</v>
      </c>
      <c r="Y49" s="68" t="s">
        <v>55</v>
      </c>
      <c r="Z49" s="68" t="s">
        <v>55</v>
      </c>
      <c r="AA49" s="68" t="s">
        <v>55</v>
      </c>
      <c r="AB49" s="68" t="s">
        <v>55</v>
      </c>
    </row>
    <row r="50" spans="1:28" ht="13.5">
      <c r="A50" s="168"/>
      <c r="B50" s="12"/>
      <c r="C50" s="12" t="s">
        <v>21</v>
      </c>
      <c r="D50" s="12"/>
      <c r="E50" s="12"/>
      <c r="F50" s="55">
        <v>17.268392370572208</v>
      </c>
      <c r="G50" s="55">
        <v>17.625704445835943</v>
      </c>
      <c r="H50" s="55">
        <v>17.333750782717594</v>
      </c>
      <c r="I50" s="55">
        <v>17.181392444583203</v>
      </c>
      <c r="J50" s="55">
        <v>16.861997114922264</v>
      </c>
      <c r="K50" s="55">
        <v>16.491181186531268</v>
      </c>
      <c r="L50" s="55">
        <v>16.589355089355088</v>
      </c>
      <c r="M50" s="55">
        <v>16.195409695409694</v>
      </c>
      <c r="N50" s="55">
        <v>15.785730064060084</v>
      </c>
      <c r="O50" s="55">
        <v>15.613784853225361</v>
      </c>
      <c r="P50" s="55">
        <v>15.470915411355735</v>
      </c>
      <c r="Q50" s="55">
        <v>15.648117839607201</v>
      </c>
      <c r="R50" s="55">
        <v>15.788800705467372</v>
      </c>
      <c r="S50" s="55">
        <v>15.904888719802168</v>
      </c>
      <c r="T50" s="55">
        <v>15.999615926257842</v>
      </c>
      <c r="U50" s="55">
        <v>15.742208892945625</v>
      </c>
      <c r="V50" s="55">
        <v>15.270791544514735</v>
      </c>
      <c r="W50" s="55">
        <v>15.1584008097166</v>
      </c>
      <c r="X50" s="55">
        <v>14.675804740007075</v>
      </c>
      <c r="Y50" s="55">
        <v>14.92356572258533</v>
      </c>
      <c r="Z50" s="55">
        <v>16.306132001872367</v>
      </c>
      <c r="AA50" s="55">
        <v>16.316299337970364</v>
      </c>
      <c r="AB50" s="55">
        <v>16.850840121331913</v>
      </c>
    </row>
    <row r="51" spans="1:28" ht="13.5">
      <c r="A51" s="168"/>
      <c r="B51" s="12"/>
      <c r="C51" s="12"/>
      <c r="D51" s="12" t="s">
        <v>23</v>
      </c>
      <c r="E51" s="12"/>
      <c r="F51" s="55">
        <v>15.114634780348323</v>
      </c>
      <c r="G51" s="55">
        <v>15.423440912399903</v>
      </c>
      <c r="H51" s="55">
        <v>15.076630176106615</v>
      </c>
      <c r="I51" s="55">
        <v>14.834944417593039</v>
      </c>
      <c r="J51" s="55">
        <v>14.603995006242197</v>
      </c>
      <c r="K51" s="55">
        <v>14.078503095104107</v>
      </c>
      <c r="L51" s="55">
        <v>14.088992248062015</v>
      </c>
      <c r="M51" s="55">
        <v>14.153561517113783</v>
      </c>
      <c r="N51" s="55">
        <v>13.867614533965245</v>
      </c>
      <c r="O51" s="55">
        <v>13.82995070106921</v>
      </c>
      <c r="P51" s="55">
        <v>13.712298450837812</v>
      </c>
      <c r="Q51" s="55">
        <v>13.875711574952561</v>
      </c>
      <c r="R51" s="55">
        <v>14.186545240893066</v>
      </c>
      <c r="S51" s="55">
        <v>14.838765008576329</v>
      </c>
      <c r="T51" s="55">
        <v>15.833824711873492</v>
      </c>
      <c r="U51" s="55">
        <v>15.563216821409066</v>
      </c>
      <c r="V51" s="55">
        <v>15.088273615635179</v>
      </c>
      <c r="W51" s="55">
        <v>14.945772386728505</v>
      </c>
      <c r="X51" s="55">
        <v>14.476914518820694</v>
      </c>
      <c r="Y51" s="55">
        <v>14.713497049305159</v>
      </c>
      <c r="Z51" s="55">
        <v>16.169233263089641</v>
      </c>
      <c r="AA51" s="55">
        <v>16.192267068377429</v>
      </c>
      <c r="AB51" s="55">
        <v>16.76155235606684</v>
      </c>
    </row>
    <row r="52" spans="1:28" ht="13.5">
      <c r="A52" s="168"/>
      <c r="B52" s="12"/>
      <c r="C52" s="12"/>
      <c r="D52" s="12" t="s">
        <v>24</v>
      </c>
      <c r="E52" s="12"/>
      <c r="F52" s="55">
        <v>21.36</v>
      </c>
      <c r="G52" s="55">
        <v>21.629025143361272</v>
      </c>
      <c r="H52" s="55">
        <v>21.672461116193961</v>
      </c>
      <c r="I52" s="55">
        <v>21.46252204585538</v>
      </c>
      <c r="J52" s="55">
        <v>20.910026857654433</v>
      </c>
      <c r="K52" s="55">
        <v>20.655658086449733</v>
      </c>
      <c r="L52" s="55">
        <v>20.78263130525221</v>
      </c>
      <c r="M52" s="55">
        <v>20.86187455954898</v>
      </c>
      <c r="N52" s="55">
        <v>20.24302496328928</v>
      </c>
      <c r="O52" s="55">
        <v>20.170073589533931</v>
      </c>
      <c r="P52" s="55">
        <v>20.299479166666668</v>
      </c>
      <c r="Q52" s="55">
        <v>20.674439461883409</v>
      </c>
      <c r="R52" s="55">
        <v>20.606890459363957</v>
      </c>
      <c r="S52" s="55">
        <v>19.604591836734695</v>
      </c>
      <c r="T52" s="55">
        <v>19.544412607449857</v>
      </c>
      <c r="U52" s="55">
        <v>19.542028985507248</v>
      </c>
      <c r="V52" s="55">
        <v>18.557184750733139</v>
      </c>
      <c r="W52" s="55">
        <v>18.86024844720497</v>
      </c>
      <c r="X52" s="55">
        <v>18.785440613026822</v>
      </c>
      <c r="Y52" s="55">
        <v>19.250980392156862</v>
      </c>
      <c r="Z52" s="55">
        <v>19.824999999999999</v>
      </c>
      <c r="AA52" s="55">
        <v>20.06276150627615</v>
      </c>
      <c r="AB52" s="55">
        <v>19.919831223628691</v>
      </c>
    </row>
    <row r="53" spans="1:28" ht="13.5">
      <c r="A53" s="168"/>
      <c r="B53" s="12"/>
      <c r="C53" s="12" t="s">
        <v>25</v>
      </c>
      <c r="D53" s="12"/>
      <c r="E53" s="12"/>
      <c r="F53" s="55">
        <v>25.241379310344829</v>
      </c>
      <c r="G53" s="55">
        <v>25.678571428571427</v>
      </c>
      <c r="H53" s="55">
        <v>25.807692307692307</v>
      </c>
      <c r="I53" s="55">
        <v>25.333333333333332</v>
      </c>
      <c r="J53" s="55">
        <v>22.5</v>
      </c>
      <c r="K53" s="55">
        <v>21.192307692307693</v>
      </c>
      <c r="L53" s="55">
        <v>20.541666666666668</v>
      </c>
      <c r="M53" s="55">
        <v>24.833333333333332</v>
      </c>
      <c r="N53" s="55">
        <v>21.32</v>
      </c>
      <c r="O53" s="55">
        <v>20.913043478260871</v>
      </c>
      <c r="P53" s="55">
        <v>20.333333333333332</v>
      </c>
      <c r="Q53" s="55">
        <v>21.176470588235293</v>
      </c>
      <c r="R53" s="55">
        <v>19.866666666666667</v>
      </c>
      <c r="S53" s="55">
        <v>18.153846153846153</v>
      </c>
      <c r="T53" s="55">
        <v>16.333333333333332</v>
      </c>
      <c r="U53" s="55">
        <v>14.75</v>
      </c>
      <c r="V53" s="55">
        <v>15</v>
      </c>
      <c r="W53" s="55">
        <v>12.75</v>
      </c>
      <c r="X53" s="55">
        <v>14</v>
      </c>
      <c r="Y53" s="55">
        <v>16.5</v>
      </c>
      <c r="Z53" s="55">
        <v>26</v>
      </c>
      <c r="AA53" s="55">
        <v>0</v>
      </c>
      <c r="AB53" s="55">
        <v>21</v>
      </c>
    </row>
    <row r="54" spans="1:28" ht="13.5">
      <c r="A54" s="168"/>
      <c r="B54" s="12"/>
      <c r="C54" s="12" t="s">
        <v>26</v>
      </c>
      <c r="D54" s="12"/>
      <c r="E54" s="12"/>
      <c r="F54" s="55">
        <v>22.096339014468874</v>
      </c>
      <c r="G54" s="55">
        <v>22.302856336172415</v>
      </c>
      <c r="H54" s="55">
        <v>22.439857465670084</v>
      </c>
      <c r="I54" s="55">
        <v>22.294156844779476</v>
      </c>
      <c r="J54" s="55">
        <v>22.087868156971528</v>
      </c>
      <c r="K54" s="55">
        <v>21.63446743032997</v>
      </c>
      <c r="L54" s="55">
        <v>21.452723829656055</v>
      </c>
      <c r="M54" s="55">
        <v>21.304874776386406</v>
      </c>
      <c r="N54" s="55">
        <v>20.937855030334251</v>
      </c>
      <c r="O54" s="55">
        <v>20.617550997020398</v>
      </c>
      <c r="P54" s="55">
        <v>20.695931692616774</v>
      </c>
      <c r="Q54" s="55">
        <v>20.823045267489711</v>
      </c>
      <c r="R54" s="55">
        <v>20.818699696874674</v>
      </c>
      <c r="S54" s="55">
        <v>20.695609756097561</v>
      </c>
      <c r="T54" s="55">
        <v>20.535245604025103</v>
      </c>
      <c r="U54" s="55">
        <v>20.397954946537943</v>
      </c>
      <c r="V54" s="55">
        <v>20.294505839836589</v>
      </c>
      <c r="W54" s="55">
        <v>20.179684770987922</v>
      </c>
      <c r="X54" s="55">
        <v>20.223432812253275</v>
      </c>
      <c r="Y54" s="55">
        <v>19.814424764640179</v>
      </c>
      <c r="Z54" s="55">
        <v>19.395209912052657</v>
      </c>
      <c r="AA54" s="55">
        <v>19.565798755366043</v>
      </c>
      <c r="AB54" s="55">
        <v>19.711160695291333</v>
      </c>
    </row>
    <row r="55" spans="1:28" ht="13.5">
      <c r="A55" s="168"/>
      <c r="B55" s="12"/>
      <c r="C55" s="12" t="s">
        <v>27</v>
      </c>
      <c r="D55" s="12"/>
      <c r="E55" s="12"/>
      <c r="F55" s="55">
        <v>24.377952755905511</v>
      </c>
      <c r="G55" s="55">
        <v>24.305903398926656</v>
      </c>
      <c r="H55" s="55">
        <v>23.982758620689655</v>
      </c>
      <c r="I55" s="55">
        <v>23.227210884353742</v>
      </c>
      <c r="J55" s="55">
        <v>22.898684210526316</v>
      </c>
      <c r="K55" s="55">
        <v>22.764783180026281</v>
      </c>
      <c r="L55" s="55">
        <v>23.480569948186528</v>
      </c>
      <c r="M55" s="55">
        <v>24.10857142857143</v>
      </c>
      <c r="N55" s="55">
        <v>22.951244813278009</v>
      </c>
      <c r="O55" s="55">
        <v>22.703252032520325</v>
      </c>
      <c r="P55" s="55">
        <v>22.042976939203353</v>
      </c>
      <c r="Q55" s="55">
        <v>21.84967320261438</v>
      </c>
      <c r="R55" s="55">
        <v>21.422297297297298</v>
      </c>
      <c r="S55" s="55">
        <v>21.335775335775335</v>
      </c>
      <c r="T55" s="55">
        <v>20.596306068601582</v>
      </c>
      <c r="U55" s="55">
        <v>20.165938864628821</v>
      </c>
      <c r="V55" s="55">
        <v>18.728486646884274</v>
      </c>
      <c r="W55" s="55">
        <v>18.426016260162601</v>
      </c>
      <c r="X55" s="55">
        <v>18.295109612141651</v>
      </c>
      <c r="Y55" s="55">
        <v>18.243986254295532</v>
      </c>
      <c r="Z55" s="55">
        <v>17.300187617260789</v>
      </c>
      <c r="AA55" s="55">
        <v>16.470588235294116</v>
      </c>
      <c r="AB55" s="55">
        <v>16.280092592592592</v>
      </c>
    </row>
    <row r="56" spans="1:28" ht="13.5">
      <c r="A56" s="168"/>
      <c r="B56" s="12"/>
      <c r="C56" s="12" t="s">
        <v>28</v>
      </c>
      <c r="D56" s="12"/>
      <c r="E56" s="12"/>
      <c r="F56" s="53" t="s">
        <v>55</v>
      </c>
      <c r="G56" s="53" t="s">
        <v>55</v>
      </c>
      <c r="H56" s="53" t="s">
        <v>55</v>
      </c>
      <c r="I56" s="53" t="s">
        <v>55</v>
      </c>
      <c r="J56" s="53" t="s">
        <v>55</v>
      </c>
      <c r="K56" s="53" t="s">
        <v>55</v>
      </c>
      <c r="L56" s="53" t="s">
        <v>55</v>
      </c>
      <c r="M56" s="53" t="s">
        <v>55</v>
      </c>
      <c r="N56" s="53" t="s">
        <v>55</v>
      </c>
      <c r="O56" s="53" t="s">
        <v>55</v>
      </c>
      <c r="P56" s="53" t="s">
        <v>55</v>
      </c>
      <c r="Q56" s="53" t="s">
        <v>55</v>
      </c>
      <c r="R56" s="53" t="s">
        <v>55</v>
      </c>
      <c r="S56" s="53" t="s">
        <v>55</v>
      </c>
      <c r="T56" s="53" t="s">
        <v>55</v>
      </c>
      <c r="U56" s="53" t="s">
        <v>55</v>
      </c>
      <c r="V56" s="53" t="s">
        <v>55</v>
      </c>
      <c r="W56" s="53" t="s">
        <v>55</v>
      </c>
      <c r="X56" s="53" t="s">
        <v>55</v>
      </c>
      <c r="Y56" s="53" t="s">
        <v>55</v>
      </c>
      <c r="Z56" s="53" t="s">
        <v>55</v>
      </c>
      <c r="AA56" s="53" t="s">
        <v>55</v>
      </c>
      <c r="AB56" s="53" t="s">
        <v>55</v>
      </c>
    </row>
    <row r="57" spans="1:28" ht="13.5">
      <c r="A57" s="168"/>
      <c r="B57" s="12"/>
      <c r="C57" s="12" t="s">
        <v>29</v>
      </c>
      <c r="D57" s="12"/>
      <c r="E57" s="12"/>
      <c r="F57" s="55">
        <v>23.605598755832037</v>
      </c>
      <c r="G57" s="55">
        <v>23.831435079726653</v>
      </c>
      <c r="H57" s="55">
        <v>23.594645754461872</v>
      </c>
      <c r="I57" s="55">
        <v>23.240104166666665</v>
      </c>
      <c r="J57" s="55">
        <v>23.097089814350227</v>
      </c>
      <c r="K57" s="55">
        <v>22.589486552567237</v>
      </c>
      <c r="L57" s="55">
        <v>22.70325693606755</v>
      </c>
      <c r="M57" s="55">
        <v>22.951938704434642</v>
      </c>
      <c r="N57" s="55">
        <v>22.514109448189192</v>
      </c>
      <c r="O57" s="55">
        <v>22.325234930093973</v>
      </c>
      <c r="P57" s="55">
        <v>21.956023391812867</v>
      </c>
      <c r="Q57" s="55">
        <v>22.113599253557265</v>
      </c>
      <c r="R57" s="55">
        <v>21.98767404702123</v>
      </c>
      <c r="S57" s="55">
        <v>21.894167980184644</v>
      </c>
      <c r="T57" s="55">
        <v>21.477384684281237</v>
      </c>
      <c r="U57" s="55">
        <v>21.209504685408302</v>
      </c>
      <c r="V57" s="55">
        <v>20.844698738907052</v>
      </c>
      <c r="W57" s="55">
        <v>20.524920982251398</v>
      </c>
      <c r="X57" s="55">
        <v>20.887100707144597</v>
      </c>
      <c r="Y57" s="55">
        <v>20.494870542256962</v>
      </c>
      <c r="Z57" s="55">
        <v>20.613595706618963</v>
      </c>
      <c r="AA57" s="55">
        <v>19.953892668178398</v>
      </c>
      <c r="AB57" s="55">
        <v>20.209772320286557</v>
      </c>
    </row>
    <row r="58" spans="1:28" ht="13.5">
      <c r="A58" s="168"/>
      <c r="B58" s="12"/>
      <c r="C58" s="12" t="s">
        <v>30</v>
      </c>
      <c r="D58" s="12"/>
      <c r="E58" s="12"/>
      <c r="F58" s="55">
        <v>20.407619827939371</v>
      </c>
      <c r="G58" s="55">
        <v>20.895238095238096</v>
      </c>
      <c r="H58" s="55">
        <v>21.01777682587278</v>
      </c>
      <c r="I58" s="55">
        <v>20.981023454157782</v>
      </c>
      <c r="J58" s="55">
        <v>20.646968702123004</v>
      </c>
      <c r="K58" s="55">
        <v>20.463846319879128</v>
      </c>
      <c r="L58" s="55">
        <v>21.062205062205063</v>
      </c>
      <c r="M58" s="55">
        <v>21.661507936507938</v>
      </c>
      <c r="N58" s="55">
        <v>21.66441720091478</v>
      </c>
      <c r="O58" s="55">
        <v>21.482136093927537</v>
      </c>
      <c r="P58" s="55">
        <v>20.513795423956932</v>
      </c>
      <c r="Q58" s="55">
        <v>21.439802182810368</v>
      </c>
      <c r="R58" s="55">
        <v>21.317203403971298</v>
      </c>
      <c r="S58" s="55">
        <v>20.944702756559284</v>
      </c>
      <c r="T58" s="55">
        <v>20.734806629834253</v>
      </c>
      <c r="U58" s="55">
        <v>20.411406720781162</v>
      </c>
      <c r="V58" s="55">
        <v>20.177294545732707</v>
      </c>
      <c r="W58" s="55">
        <v>19.974783576617305</v>
      </c>
      <c r="X58" s="55">
        <v>19.937244728031274</v>
      </c>
      <c r="Y58" s="55">
        <v>19.748087705091375</v>
      </c>
      <c r="Z58" s="55">
        <v>19.351636572921084</v>
      </c>
      <c r="AA58" s="55">
        <v>19.281383370945385</v>
      </c>
      <c r="AB58" s="55">
        <v>18.659652001834125</v>
      </c>
    </row>
    <row r="59" spans="1:28" ht="13.5">
      <c r="A59" s="168"/>
      <c r="B59" s="13"/>
      <c r="C59" s="13" t="s">
        <v>31</v>
      </c>
      <c r="D59" s="13"/>
      <c r="E59" s="13"/>
      <c r="F59" s="53" t="s">
        <v>55</v>
      </c>
      <c r="G59" s="53" t="s">
        <v>55</v>
      </c>
      <c r="H59" s="53" t="s">
        <v>55</v>
      </c>
      <c r="I59" s="53" t="s">
        <v>55</v>
      </c>
      <c r="J59" s="53" t="s">
        <v>55</v>
      </c>
      <c r="K59" s="53" t="s">
        <v>55</v>
      </c>
      <c r="L59" s="53" t="s">
        <v>55</v>
      </c>
      <c r="M59" s="53" t="s">
        <v>55</v>
      </c>
      <c r="N59" s="53" t="s">
        <v>55</v>
      </c>
      <c r="O59" s="53" t="s">
        <v>55</v>
      </c>
      <c r="P59" s="53" t="s">
        <v>55</v>
      </c>
      <c r="Q59" s="53" t="s">
        <v>55</v>
      </c>
      <c r="R59" s="53" t="s">
        <v>55</v>
      </c>
      <c r="S59" s="53" t="s">
        <v>55</v>
      </c>
      <c r="T59" s="53" t="s">
        <v>55</v>
      </c>
      <c r="U59" s="53" t="s">
        <v>55</v>
      </c>
      <c r="V59" s="53" t="s">
        <v>55</v>
      </c>
      <c r="W59" s="53" t="s">
        <v>55</v>
      </c>
      <c r="X59" s="53" t="s">
        <v>55</v>
      </c>
      <c r="Y59" s="53" t="s">
        <v>55</v>
      </c>
      <c r="Z59" s="53" t="s">
        <v>55</v>
      </c>
      <c r="AA59" s="53" t="s">
        <v>55</v>
      </c>
      <c r="AB59" s="53" t="s">
        <v>55</v>
      </c>
    </row>
    <row r="60" spans="1:28" ht="13.5">
      <c r="A60" s="168"/>
      <c r="B60" s="16" t="s">
        <v>130</v>
      </c>
      <c r="C60" s="16"/>
      <c r="D60" s="16"/>
      <c r="E60" s="16"/>
      <c r="F60" s="68" t="s">
        <v>55</v>
      </c>
      <c r="G60" s="68" t="s">
        <v>55</v>
      </c>
      <c r="H60" s="68" t="s">
        <v>55</v>
      </c>
      <c r="I60" s="68" t="s">
        <v>55</v>
      </c>
      <c r="J60" s="68" t="s">
        <v>55</v>
      </c>
      <c r="K60" s="68" t="s">
        <v>55</v>
      </c>
      <c r="L60" s="68" t="s">
        <v>55</v>
      </c>
      <c r="M60" s="68" t="s">
        <v>55</v>
      </c>
      <c r="N60" s="68" t="s">
        <v>55</v>
      </c>
      <c r="O60" s="68" t="s">
        <v>55</v>
      </c>
      <c r="P60" s="68" t="s">
        <v>55</v>
      </c>
      <c r="Q60" s="68" t="s">
        <v>55</v>
      </c>
      <c r="R60" s="68" t="s">
        <v>55</v>
      </c>
      <c r="S60" s="68" t="s">
        <v>55</v>
      </c>
      <c r="T60" s="68" t="s">
        <v>55</v>
      </c>
      <c r="U60" s="68" t="s">
        <v>55</v>
      </c>
      <c r="V60" s="68" t="s">
        <v>55</v>
      </c>
      <c r="W60" s="68" t="s">
        <v>55</v>
      </c>
      <c r="X60" s="68" t="s">
        <v>55</v>
      </c>
      <c r="Y60" s="68" t="s">
        <v>55</v>
      </c>
      <c r="Z60" s="68" t="s">
        <v>55</v>
      </c>
      <c r="AA60" s="68" t="s">
        <v>55</v>
      </c>
      <c r="AB60" s="68" t="s">
        <v>55</v>
      </c>
    </row>
    <row r="61" spans="1:28" ht="13.5">
      <c r="A61" s="168"/>
      <c r="B61" s="12"/>
      <c r="C61" s="12" t="s">
        <v>21</v>
      </c>
      <c r="D61" s="12"/>
      <c r="E61" s="12"/>
      <c r="F61" s="55">
        <v>19.944212502132984</v>
      </c>
      <c r="G61" s="55">
        <v>19.794061525573603</v>
      </c>
      <c r="H61" s="55">
        <v>19.879209551255659</v>
      </c>
      <c r="I61" s="55">
        <v>19.856773520238139</v>
      </c>
      <c r="J61" s="55">
        <v>19.970400237177586</v>
      </c>
      <c r="K61" s="55">
        <v>20.092212208016022</v>
      </c>
      <c r="L61" s="55">
        <v>20.02808135655615</v>
      </c>
      <c r="M61" s="55">
        <v>19.707752046130953</v>
      </c>
      <c r="N61" s="55">
        <v>19.444848281963608</v>
      </c>
      <c r="O61" s="55">
        <v>19.284617770911336</v>
      </c>
      <c r="P61" s="55">
        <v>19.237959876737314</v>
      </c>
      <c r="Q61" s="55">
        <v>19.220318473797356</v>
      </c>
      <c r="R61" s="55">
        <v>19.165999631375232</v>
      </c>
      <c r="S61" s="55">
        <v>19.202301415531867</v>
      </c>
      <c r="T61" s="55">
        <v>19.221680942908563</v>
      </c>
      <c r="U61" s="55">
        <v>19.255954564600064</v>
      </c>
      <c r="V61" s="55">
        <v>19.29936944877619</v>
      </c>
      <c r="W61" s="55">
        <v>19.207260295479028</v>
      </c>
      <c r="X61" s="55">
        <v>18.698239547743519</v>
      </c>
      <c r="Y61" s="55">
        <v>18.63065323131385</v>
      </c>
      <c r="Z61" s="55">
        <v>18.54645986130533</v>
      </c>
      <c r="AA61" s="55">
        <v>18.60377773010379</v>
      </c>
      <c r="AB61" s="55">
        <v>18.655545983346105</v>
      </c>
    </row>
    <row r="62" spans="1:28" ht="13.5">
      <c r="A62" s="168"/>
      <c r="B62" s="12"/>
      <c r="C62" s="12"/>
      <c r="D62" s="12" t="s">
        <v>22</v>
      </c>
      <c r="E62" s="12"/>
      <c r="F62" s="55">
        <v>19.984122774651784</v>
      </c>
      <c r="G62" s="55">
        <v>19.862973829639319</v>
      </c>
      <c r="H62" s="55">
        <v>19.95067264573991</v>
      </c>
      <c r="I62" s="55">
        <v>19.929205028967043</v>
      </c>
      <c r="J62" s="55">
        <v>20.036532856783047</v>
      </c>
      <c r="K62" s="55">
        <v>20.164724850539002</v>
      </c>
      <c r="L62" s="55">
        <v>20.093275916102748</v>
      </c>
      <c r="M62" s="55">
        <v>19.764263278796118</v>
      </c>
      <c r="N62" s="55">
        <v>19.499831325301205</v>
      </c>
      <c r="O62" s="55">
        <v>19.321166372736453</v>
      </c>
      <c r="P62" s="55">
        <v>19.272097316709239</v>
      </c>
      <c r="Q62" s="55">
        <v>19.253995780972964</v>
      </c>
      <c r="R62" s="55">
        <v>19.202597161918881</v>
      </c>
      <c r="S62" s="55">
        <v>19.232343840780423</v>
      </c>
      <c r="T62" s="55">
        <v>19.253587800797138</v>
      </c>
      <c r="U62" s="55">
        <v>19.287673853048066</v>
      </c>
      <c r="V62" s="55">
        <v>19.334065124904548</v>
      </c>
      <c r="W62" s="55">
        <v>19.238009574378331</v>
      </c>
      <c r="X62" s="55">
        <v>18.741075868928551</v>
      </c>
      <c r="Y62" s="55">
        <v>18.67309284281124</v>
      </c>
      <c r="Z62" s="55">
        <v>18.585018672795172</v>
      </c>
      <c r="AA62" s="55">
        <v>18.64414561924217</v>
      </c>
      <c r="AB62" s="55">
        <v>18.693496221463448</v>
      </c>
    </row>
    <row r="63" spans="1:28" ht="13.5">
      <c r="A63" s="168"/>
      <c r="B63" s="12"/>
      <c r="C63" s="12"/>
      <c r="D63" s="12" t="s">
        <v>23</v>
      </c>
      <c r="E63" s="12"/>
      <c r="F63" s="55">
        <v>17.00339847068819</v>
      </c>
      <c r="G63" s="55">
        <v>14.383903792784459</v>
      </c>
      <c r="H63" s="55">
        <v>14.744644387317908</v>
      </c>
      <c r="I63" s="55">
        <v>14.490650044523598</v>
      </c>
      <c r="J63" s="55">
        <v>14.154008438818565</v>
      </c>
      <c r="K63" s="55">
        <v>13.291390728476822</v>
      </c>
      <c r="L63" s="55">
        <v>12.76196636481242</v>
      </c>
      <c r="M63" s="55">
        <v>12.739884393063583</v>
      </c>
      <c r="N63" s="55">
        <v>12.336448598130842</v>
      </c>
      <c r="O63" s="55">
        <v>12.725055432372505</v>
      </c>
      <c r="P63" s="55">
        <v>12.855791962174941</v>
      </c>
      <c r="Q63" s="55">
        <v>12.934782608695652</v>
      </c>
      <c r="R63" s="55">
        <v>12.487922705314009</v>
      </c>
      <c r="S63" s="55">
        <v>13.32010582010582</v>
      </c>
      <c r="T63" s="55">
        <v>13.145077720207254</v>
      </c>
      <c r="U63" s="55">
        <v>13.523456790123456</v>
      </c>
      <c r="V63" s="55">
        <v>13.078239608801956</v>
      </c>
      <c r="W63" s="55">
        <v>13.543859649122806</v>
      </c>
      <c r="X63" s="55">
        <v>12.382892057026476</v>
      </c>
      <c r="Y63" s="55">
        <v>12.329166666666667</v>
      </c>
      <c r="Z63" s="55">
        <v>12.735930735930737</v>
      </c>
      <c r="AA63" s="55">
        <v>12.717894736842105</v>
      </c>
      <c r="AB63" s="55">
        <v>13.2760736196319</v>
      </c>
    </row>
    <row r="64" spans="1:28" ht="13.5">
      <c r="A64" s="168"/>
      <c r="B64" s="12"/>
      <c r="C64" s="12" t="s">
        <v>25</v>
      </c>
      <c r="D64" s="12"/>
      <c r="E64" s="12"/>
      <c r="F64" s="55">
        <v>0</v>
      </c>
      <c r="G64" s="55">
        <v>0</v>
      </c>
      <c r="H64" s="55">
        <v>0</v>
      </c>
      <c r="I64" s="55">
        <v>0</v>
      </c>
      <c r="J64" s="55">
        <v>0</v>
      </c>
      <c r="K64" s="55">
        <v>0</v>
      </c>
      <c r="L64" s="55">
        <v>0</v>
      </c>
      <c r="M64" s="55">
        <v>0</v>
      </c>
      <c r="N64" s="55">
        <v>0</v>
      </c>
      <c r="O64" s="55">
        <v>0</v>
      </c>
      <c r="P64" s="55">
        <v>0</v>
      </c>
      <c r="Q64" s="55">
        <v>0</v>
      </c>
      <c r="R64" s="55">
        <v>0</v>
      </c>
      <c r="S64" s="55">
        <v>0</v>
      </c>
      <c r="T64" s="55">
        <v>0</v>
      </c>
      <c r="U64" s="55">
        <v>0</v>
      </c>
      <c r="V64" s="55">
        <v>0</v>
      </c>
      <c r="W64" s="55">
        <v>0</v>
      </c>
      <c r="X64" s="55">
        <v>0</v>
      </c>
      <c r="Y64" s="55">
        <v>0</v>
      </c>
      <c r="Z64" s="55">
        <v>0</v>
      </c>
      <c r="AA64" s="55">
        <v>0</v>
      </c>
      <c r="AB64" s="55">
        <v>0</v>
      </c>
    </row>
    <row r="65" spans="1:28" ht="13.5">
      <c r="A65" s="168"/>
      <c r="B65" s="12"/>
      <c r="C65" s="12" t="s">
        <v>26</v>
      </c>
      <c r="D65" s="12"/>
      <c r="E65" s="12"/>
      <c r="F65" s="55">
        <v>20.475642161204608</v>
      </c>
      <c r="G65" s="55">
        <v>20.826460481099655</v>
      </c>
      <c r="H65" s="55">
        <v>20.314354450681638</v>
      </c>
      <c r="I65" s="55">
        <v>19.964370546318289</v>
      </c>
      <c r="J65" s="55">
        <v>19.742424242424242</v>
      </c>
      <c r="K65" s="55">
        <v>19.320512820512821</v>
      </c>
      <c r="L65" s="55">
        <v>19.244120032441199</v>
      </c>
      <c r="M65" s="55">
        <v>19.279399499582986</v>
      </c>
      <c r="N65" s="55">
        <v>19.417085427135678</v>
      </c>
      <c r="O65" s="55">
        <v>19.580910954034046</v>
      </c>
      <c r="P65" s="55">
        <v>19.5973207249803</v>
      </c>
      <c r="Q65" s="55">
        <v>19.512195121951219</v>
      </c>
      <c r="R65" s="55">
        <v>19.124478442280946</v>
      </c>
      <c r="S65" s="55">
        <v>18.934636118598384</v>
      </c>
      <c r="T65" s="55">
        <v>18.685234899328858</v>
      </c>
      <c r="U65" s="55">
        <v>18.570380253502336</v>
      </c>
      <c r="V65" s="55">
        <v>18.748182419035029</v>
      </c>
      <c r="W65" s="55">
        <v>19.008760951188986</v>
      </c>
      <c r="X65" s="55">
        <v>19.027811366384523</v>
      </c>
      <c r="Y65" s="55">
        <v>18.730042656916513</v>
      </c>
      <c r="Z65" s="55">
        <v>18.30162703379224</v>
      </c>
      <c r="AA65" s="55">
        <v>18.821691176470587</v>
      </c>
      <c r="AB65" s="55">
        <v>19.344887348353556</v>
      </c>
    </row>
    <row r="66" spans="1:28" ht="13.5">
      <c r="A66" s="168"/>
      <c r="B66" s="12"/>
      <c r="C66" s="12" t="s">
        <v>27</v>
      </c>
      <c r="D66" s="12"/>
      <c r="E66" s="12"/>
      <c r="F66" s="55">
        <v>17.399999999999999</v>
      </c>
      <c r="G66" s="55">
        <v>21.75</v>
      </c>
      <c r="H66" s="55">
        <v>27.666666666666668</v>
      </c>
      <c r="I66" s="55">
        <v>23.409638554216869</v>
      </c>
      <c r="J66" s="55">
        <v>18.932692307692307</v>
      </c>
      <c r="K66" s="55">
        <v>20.083333333333332</v>
      </c>
      <c r="L66" s="55">
        <v>21.102803738317757</v>
      </c>
      <c r="M66" s="55">
        <v>21.214876033057852</v>
      </c>
      <c r="N66" s="55">
        <v>20.007874015748033</v>
      </c>
      <c r="O66" s="55">
        <v>20.06611570247934</v>
      </c>
      <c r="P66" s="55">
        <v>18.681034482758619</v>
      </c>
      <c r="Q66" s="55">
        <v>17.633928571428573</v>
      </c>
      <c r="R66" s="55">
        <v>16.60576923076923</v>
      </c>
      <c r="S66" s="55">
        <v>17.181818181818183</v>
      </c>
      <c r="T66" s="55">
        <v>15.825581395348838</v>
      </c>
      <c r="U66" s="55">
        <v>15.301204819277109</v>
      </c>
      <c r="V66" s="55">
        <v>17.514705882352942</v>
      </c>
      <c r="W66" s="55">
        <v>12.5</v>
      </c>
      <c r="X66" s="55">
        <v>8.2741935483870961</v>
      </c>
      <c r="Y66" s="55">
        <v>8.32258064516129</v>
      </c>
      <c r="Z66" s="55">
        <v>13.617647058823529</v>
      </c>
      <c r="AA66" s="55">
        <v>9.5952380952380949</v>
      </c>
      <c r="AB66" s="55">
        <v>8.7692307692307701</v>
      </c>
    </row>
    <row r="67" spans="1:28" ht="13.5">
      <c r="A67" s="168"/>
      <c r="B67" s="12"/>
      <c r="C67" s="12" t="s">
        <v>29</v>
      </c>
      <c r="D67" s="12"/>
      <c r="E67" s="12"/>
      <c r="F67" s="55">
        <v>24.255404323458766</v>
      </c>
      <c r="G67" s="55">
        <v>24.278425655976676</v>
      </c>
      <c r="H67" s="55">
        <v>24.463068181818183</v>
      </c>
      <c r="I67" s="55">
        <v>24.888356164383563</v>
      </c>
      <c r="J67" s="55">
        <v>25.112352168199738</v>
      </c>
      <c r="K67" s="55">
        <v>24.956666666666667</v>
      </c>
      <c r="L67" s="55">
        <v>25.298113207547171</v>
      </c>
      <c r="M67" s="55">
        <v>25.281879194630871</v>
      </c>
      <c r="N67" s="55">
        <v>24.585415179633593</v>
      </c>
      <c r="O67" s="55">
        <v>24.053421368547419</v>
      </c>
      <c r="P67" s="55">
        <v>24.565508836075562</v>
      </c>
      <c r="Q67" s="55">
        <v>24.329855072463769</v>
      </c>
      <c r="R67" s="55">
        <v>24.673515981735161</v>
      </c>
      <c r="S67" s="55">
        <v>24.333141210374638</v>
      </c>
      <c r="T67" s="55">
        <v>24.165919282511211</v>
      </c>
      <c r="U67" s="55">
        <v>23.610919540229887</v>
      </c>
      <c r="V67" s="55">
        <v>23.080730701237478</v>
      </c>
      <c r="W67" s="55">
        <v>22.904043452021725</v>
      </c>
      <c r="X67" s="55">
        <v>22.568531038721574</v>
      </c>
      <c r="Y67" s="55">
        <v>22.986060606060605</v>
      </c>
      <c r="Z67" s="55">
        <v>22.88245931283906</v>
      </c>
      <c r="AA67" s="55">
        <v>22.464874770922496</v>
      </c>
      <c r="AB67" s="55">
        <v>22.754620777565382</v>
      </c>
    </row>
    <row r="68" spans="1:28" ht="13.5">
      <c r="A68" s="168"/>
      <c r="B68" s="12"/>
      <c r="C68" s="12" t="s">
        <v>30</v>
      </c>
      <c r="D68" s="12"/>
      <c r="E68" s="12"/>
      <c r="F68" s="55">
        <v>20.048737104233368</v>
      </c>
      <c r="G68" s="55">
        <v>20.078331637843338</v>
      </c>
      <c r="H68" s="55">
        <v>19.867084203201113</v>
      </c>
      <c r="I68" s="55">
        <v>19.793833580980685</v>
      </c>
      <c r="J68" s="55">
        <v>19.259500959692897</v>
      </c>
      <c r="K68" s="55">
        <v>19.374378585086042</v>
      </c>
      <c r="L68" s="55">
        <v>19.932178400294877</v>
      </c>
      <c r="M68" s="55">
        <v>20.291970802919707</v>
      </c>
      <c r="N68" s="55">
        <v>20.251737868664371</v>
      </c>
      <c r="O68" s="55">
        <v>20.175179608306269</v>
      </c>
      <c r="P68" s="55">
        <v>20.20051085568327</v>
      </c>
      <c r="Q68" s="55">
        <v>20.330944219382985</v>
      </c>
      <c r="R68" s="55">
        <v>19.933819064966606</v>
      </c>
      <c r="S68" s="55">
        <v>19.536284251731406</v>
      </c>
      <c r="T68" s="55">
        <v>19.221017765733212</v>
      </c>
      <c r="U68" s="55">
        <v>18.796804570000447</v>
      </c>
      <c r="V68" s="55">
        <v>18.897324516996786</v>
      </c>
      <c r="W68" s="55">
        <v>18.702819288245262</v>
      </c>
      <c r="X68" s="55">
        <v>18.372275273561083</v>
      </c>
      <c r="Y68" s="55">
        <v>17.968514138154404</v>
      </c>
      <c r="Z68" s="55">
        <v>17.374958286261869</v>
      </c>
      <c r="AA68" s="55">
        <v>16.61211602814825</v>
      </c>
      <c r="AB68" s="55">
        <v>16.881868530638467</v>
      </c>
    </row>
    <row r="69" spans="1:28" ht="13.5">
      <c r="A69" s="168"/>
      <c r="B69" s="13"/>
      <c r="C69" s="13" t="s">
        <v>31</v>
      </c>
      <c r="D69" s="13"/>
      <c r="E69" s="13"/>
      <c r="F69" s="54" t="s">
        <v>55</v>
      </c>
      <c r="G69" s="54" t="s">
        <v>55</v>
      </c>
      <c r="H69" s="54" t="s">
        <v>55</v>
      </c>
      <c r="I69" s="54" t="s">
        <v>55</v>
      </c>
      <c r="J69" s="54" t="s">
        <v>55</v>
      </c>
      <c r="K69" s="54" t="s">
        <v>55</v>
      </c>
      <c r="L69" s="54" t="s">
        <v>55</v>
      </c>
      <c r="M69" s="54" t="s">
        <v>55</v>
      </c>
      <c r="N69" s="54" t="s">
        <v>55</v>
      </c>
      <c r="O69" s="54" t="s">
        <v>55</v>
      </c>
      <c r="P69" s="54" t="s">
        <v>55</v>
      </c>
      <c r="Q69" s="54" t="s">
        <v>55</v>
      </c>
      <c r="R69" s="54" t="s">
        <v>55</v>
      </c>
      <c r="S69" s="54" t="s">
        <v>55</v>
      </c>
      <c r="T69" s="54" t="s">
        <v>55</v>
      </c>
      <c r="U69" s="54" t="s">
        <v>55</v>
      </c>
      <c r="V69" s="54" t="s">
        <v>55</v>
      </c>
      <c r="W69" s="54" t="s">
        <v>55</v>
      </c>
      <c r="X69" s="54" t="s">
        <v>55</v>
      </c>
      <c r="Y69" s="54" t="s">
        <v>55</v>
      </c>
      <c r="Z69" s="54" t="s">
        <v>55</v>
      </c>
      <c r="AA69" s="54" t="s">
        <v>55</v>
      </c>
      <c r="AB69" s="54" t="s">
        <v>55</v>
      </c>
    </row>
    <row r="70" spans="1:28">
      <c r="A70" s="168"/>
      <c r="B70" s="171" t="s">
        <v>33</v>
      </c>
      <c r="C70" s="171"/>
      <c r="D70" s="171"/>
      <c r="E70" s="171" t="s">
        <v>32</v>
      </c>
      <c r="F70" s="171"/>
      <c r="G70" s="171"/>
      <c r="H70" s="171"/>
      <c r="I70" s="171"/>
      <c r="J70" s="171"/>
      <c r="K70" s="171"/>
      <c r="L70" s="171"/>
      <c r="M70" s="171"/>
      <c r="N70" s="171"/>
      <c r="O70" s="171"/>
      <c r="P70" s="171"/>
      <c r="Q70" s="188"/>
      <c r="R70" s="188"/>
      <c r="S70" s="188"/>
      <c r="T70" s="188"/>
      <c r="U70" s="188"/>
      <c r="V70" s="188"/>
      <c r="W70" s="188"/>
      <c r="X70" s="188"/>
      <c r="Y70" s="188"/>
      <c r="Z70" s="188"/>
      <c r="AA70" s="188"/>
      <c r="AB70" s="188"/>
    </row>
    <row r="71" spans="1:28" ht="25.5" customHeight="1">
      <c r="A71" s="153"/>
      <c r="B71" s="140"/>
      <c r="C71" s="140"/>
      <c r="D71" s="140"/>
      <c r="E71" s="167" t="s">
        <v>200</v>
      </c>
      <c r="F71" s="167"/>
      <c r="G71" s="167"/>
      <c r="H71" s="167"/>
      <c r="I71" s="167"/>
      <c r="J71" s="167"/>
      <c r="K71" s="167"/>
      <c r="L71" s="167"/>
      <c r="M71" s="167"/>
      <c r="N71" s="167"/>
      <c r="O71" s="167"/>
      <c r="P71" s="167"/>
      <c r="Q71" s="167"/>
      <c r="R71" s="167"/>
      <c r="S71" s="167"/>
      <c r="T71" s="167"/>
      <c r="U71" s="167"/>
      <c r="V71" s="167"/>
      <c r="W71" s="167"/>
      <c r="X71" s="167"/>
      <c r="Y71" s="167"/>
      <c r="Z71" s="167"/>
      <c r="AA71" s="167"/>
      <c r="AB71" s="167"/>
    </row>
    <row r="72" spans="1:28">
      <c r="E72" s="178" t="s">
        <v>189</v>
      </c>
      <c r="F72" s="178"/>
      <c r="G72" s="178"/>
      <c r="H72" s="178"/>
      <c r="I72" s="178"/>
      <c r="J72" s="178"/>
      <c r="K72" s="178"/>
      <c r="L72" s="178"/>
      <c r="M72" s="178"/>
      <c r="N72" s="178"/>
      <c r="O72" s="178"/>
      <c r="P72" s="178"/>
      <c r="Q72" s="189"/>
      <c r="R72" s="189"/>
      <c r="S72" s="189"/>
      <c r="T72" s="189"/>
      <c r="U72" s="189"/>
      <c r="V72" s="189"/>
      <c r="W72" s="189"/>
      <c r="X72" s="151"/>
      <c r="Y72" s="151"/>
      <c r="Z72" s="151"/>
      <c r="AA72" s="151"/>
    </row>
    <row r="73" spans="1:28">
      <c r="E73" s="180"/>
      <c r="F73" s="180"/>
      <c r="G73" s="180"/>
      <c r="H73" s="180"/>
      <c r="I73" s="180"/>
      <c r="J73" s="180"/>
      <c r="K73" s="181"/>
      <c r="L73" s="181"/>
      <c r="M73" s="181"/>
      <c r="N73" s="181"/>
      <c r="O73" s="181"/>
    </row>
  </sheetData>
  <mergeCells count="9">
    <mergeCell ref="E73:O73"/>
    <mergeCell ref="A1:A36"/>
    <mergeCell ref="A37:A70"/>
    <mergeCell ref="B1:E1"/>
    <mergeCell ref="B5:E5"/>
    <mergeCell ref="B70:D70"/>
    <mergeCell ref="E70:AB70"/>
    <mergeCell ref="E72:W72"/>
    <mergeCell ref="E71:AB71"/>
  </mergeCells>
  <hyperlinks>
    <hyperlink ref="E71:AB71" location="Leer!Druckbereich" display="Ab 2024 gelten für die Schularten des Sek-I-Bereichs neue Bezeichnungen bzw. Zusätze. Zudem kommt es bei den Hauptschulen, Schularten mit zwei Bildungsgängen und Schularten mit drei Bildungsgängen zu Neuzuordnungen." xr:uid="{A4D2FCCD-5AC7-4905-AA4A-202C1A1269E9}"/>
  </hyperlinks>
  <printOptions verticalCentered="1"/>
  <pageMargins left="0.23622047244094491" right="0.23622047244094491" top="0.74803149606299213" bottom="0.74803149606299213" header="0.31496062992125984" footer="0.31496062992125984"/>
  <pageSetup paperSize="9" scale="97" orientation="landscape" r:id="rId1"/>
  <rowBreaks count="1" manualBreakCount="1">
    <brk id="36"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16"/>
  <dimension ref="A1:AB72"/>
  <sheetViews>
    <sheetView view="pageBreakPreview" zoomScale="140" zoomScaleNormal="120" zoomScaleSheetLayoutView="140" workbookViewId="0">
      <selection activeCell="J27" sqref="J27"/>
    </sheetView>
  </sheetViews>
  <sheetFormatPr baseColWidth="10" defaultColWidth="11.42578125" defaultRowHeight="12.75"/>
  <cols>
    <col min="1" max="1" width="2.7109375" style="3" customWidth="1"/>
    <col min="2" max="2" width="3.7109375" style="3" customWidth="1"/>
    <col min="3" max="4" width="2.7109375" style="3" customWidth="1"/>
    <col min="5" max="5" width="17.7109375" style="3" customWidth="1"/>
    <col min="6" max="22" width="6.7109375" style="3" customWidth="1"/>
    <col min="23" max="16384" width="11.42578125" style="3"/>
  </cols>
  <sheetData>
    <row r="1" spans="1:22">
      <c r="A1" s="168">
        <v>71</v>
      </c>
      <c r="B1" s="169" t="s">
        <v>0</v>
      </c>
      <c r="C1" s="169"/>
      <c r="D1" s="169"/>
      <c r="E1" s="169"/>
    </row>
    <row r="2" spans="1:22">
      <c r="A2" s="168"/>
      <c r="B2" s="4" t="s">
        <v>63</v>
      </c>
      <c r="C2" s="4"/>
      <c r="D2" s="4" t="s">
        <v>153</v>
      </c>
      <c r="E2" s="4"/>
    </row>
    <row r="3" spans="1:22">
      <c r="A3" s="168"/>
      <c r="B3" s="5" t="s">
        <v>65</v>
      </c>
      <c r="C3" s="4"/>
      <c r="D3" s="4" t="s">
        <v>186</v>
      </c>
      <c r="E3" s="4"/>
    </row>
    <row r="4" spans="1:22" ht="6" customHeight="1">
      <c r="A4" s="168"/>
    </row>
    <row r="5" spans="1:22" s="7" customFormat="1" ht="18.75" customHeight="1">
      <c r="A5" s="168"/>
      <c r="B5" s="170" t="s">
        <v>126</v>
      </c>
      <c r="C5" s="170"/>
      <c r="D5" s="170"/>
      <c r="E5" s="170"/>
      <c r="F5" s="18" t="s">
        <v>34</v>
      </c>
      <c r="G5" s="18" t="s">
        <v>35</v>
      </c>
      <c r="H5" s="18" t="s">
        <v>36</v>
      </c>
      <c r="I5" s="18" t="s">
        <v>37</v>
      </c>
      <c r="J5" s="18" t="s">
        <v>38</v>
      </c>
      <c r="K5" s="18" t="s">
        <v>39</v>
      </c>
      <c r="L5" s="18" t="s">
        <v>40</v>
      </c>
      <c r="M5" s="18" t="s">
        <v>41</v>
      </c>
      <c r="N5" s="18" t="s">
        <v>42</v>
      </c>
      <c r="O5" s="18" t="s">
        <v>43</v>
      </c>
      <c r="P5" s="18" t="s">
        <v>44</v>
      </c>
      <c r="Q5" s="18" t="s">
        <v>45</v>
      </c>
      <c r="R5" s="18" t="s">
        <v>46</v>
      </c>
      <c r="S5" s="18" t="s">
        <v>47</v>
      </c>
      <c r="T5" s="18" t="s">
        <v>48</v>
      </c>
      <c r="U5" s="18" t="s">
        <v>49</v>
      </c>
      <c r="V5" s="18" t="s">
        <v>50</v>
      </c>
    </row>
    <row r="6" spans="1:22">
      <c r="A6" s="168"/>
      <c r="B6" s="9" t="s">
        <v>120</v>
      </c>
      <c r="C6" s="9"/>
      <c r="D6" s="9"/>
      <c r="E6" s="16"/>
      <c r="F6" s="26" t="s">
        <v>55</v>
      </c>
      <c r="G6" s="26" t="s">
        <v>55</v>
      </c>
      <c r="H6" s="26" t="s">
        <v>55</v>
      </c>
      <c r="I6" s="26" t="s">
        <v>55</v>
      </c>
      <c r="J6" s="26" t="s">
        <v>55</v>
      </c>
      <c r="K6" s="26" t="s">
        <v>55</v>
      </c>
      <c r="L6" s="26" t="s">
        <v>55</v>
      </c>
      <c r="M6" s="26" t="s">
        <v>55</v>
      </c>
      <c r="N6" s="26" t="s">
        <v>55</v>
      </c>
      <c r="O6" s="26" t="s">
        <v>55</v>
      </c>
      <c r="P6" s="26" t="s">
        <v>55</v>
      </c>
      <c r="Q6" s="26" t="s">
        <v>55</v>
      </c>
      <c r="R6" s="26" t="s">
        <v>55</v>
      </c>
      <c r="S6" s="26" t="s">
        <v>55</v>
      </c>
      <c r="T6" s="26" t="s">
        <v>55</v>
      </c>
      <c r="U6" s="26" t="s">
        <v>55</v>
      </c>
      <c r="V6" s="26" t="s">
        <v>55</v>
      </c>
    </row>
    <row r="7" spans="1:22">
      <c r="A7" s="168"/>
      <c r="B7" s="10" t="s">
        <v>119</v>
      </c>
      <c r="C7" s="10"/>
      <c r="D7" s="10"/>
      <c r="E7" s="9"/>
      <c r="F7" s="27" t="s">
        <v>55</v>
      </c>
      <c r="G7" s="27" t="s">
        <v>55</v>
      </c>
      <c r="H7" s="27" t="s">
        <v>55</v>
      </c>
      <c r="I7" s="27" t="s">
        <v>55</v>
      </c>
      <c r="J7" s="27" t="s">
        <v>55</v>
      </c>
      <c r="K7" s="27" t="s">
        <v>55</v>
      </c>
      <c r="L7" s="27" t="s">
        <v>55</v>
      </c>
      <c r="M7" s="27" t="s">
        <v>55</v>
      </c>
      <c r="N7" s="27" t="s">
        <v>55</v>
      </c>
      <c r="O7" s="27" t="s">
        <v>55</v>
      </c>
      <c r="P7" s="27" t="s">
        <v>55</v>
      </c>
      <c r="Q7" s="27" t="s">
        <v>55</v>
      </c>
      <c r="R7" s="27" t="s">
        <v>55</v>
      </c>
      <c r="S7" s="27" t="s">
        <v>55</v>
      </c>
      <c r="T7" s="27" t="s">
        <v>55</v>
      </c>
      <c r="U7" s="27" t="s">
        <v>55</v>
      </c>
      <c r="V7" s="27" t="s">
        <v>55</v>
      </c>
    </row>
    <row r="8" spans="1:22">
      <c r="A8" s="168"/>
      <c r="B8" s="11" t="s">
        <v>3</v>
      </c>
      <c r="C8" s="11"/>
      <c r="D8" s="11"/>
      <c r="E8" s="11"/>
      <c r="F8" s="32">
        <v>8.5865973072215418</v>
      </c>
      <c r="G8" s="32">
        <v>10.889111434814275</v>
      </c>
      <c r="H8" s="32">
        <v>7.721984602224123</v>
      </c>
      <c r="I8" s="32">
        <v>9.1047651107121474</v>
      </c>
      <c r="J8" s="32">
        <v>6.2</v>
      </c>
      <c r="K8" s="32">
        <v>9.4271047227926079</v>
      </c>
      <c r="L8" s="32">
        <v>8.648016701461378</v>
      </c>
      <c r="M8" s="32">
        <v>9.6370370370370377</v>
      </c>
      <c r="N8" s="32">
        <v>8.3428571428571434</v>
      </c>
      <c r="O8" s="32">
        <v>11.418406313645621</v>
      </c>
      <c r="P8" s="32">
        <v>9.8351214003387923</v>
      </c>
      <c r="Q8" s="32">
        <v>9.7064676616915424</v>
      </c>
      <c r="R8" s="32">
        <v>9.6661863592699326</v>
      </c>
      <c r="S8" s="32">
        <v>8.6710344827586212</v>
      </c>
      <c r="T8" s="32">
        <v>9.247863247863247</v>
      </c>
      <c r="U8" s="32">
        <v>9.2728476821192061</v>
      </c>
      <c r="V8" s="32">
        <v>9.7215028708128663</v>
      </c>
    </row>
    <row r="9" spans="1:22">
      <c r="A9" s="168"/>
      <c r="B9" s="12"/>
      <c r="C9" s="12" t="s">
        <v>4</v>
      </c>
      <c r="D9" s="12"/>
      <c r="E9" s="12"/>
      <c r="F9" s="33">
        <v>10.731497418244405</v>
      </c>
      <c r="G9" s="33">
        <v>12.567748091603054</v>
      </c>
      <c r="H9" s="33">
        <v>10.341463414634147</v>
      </c>
      <c r="I9" s="33">
        <v>10.970580148474017</v>
      </c>
      <c r="J9" s="33">
        <v>9.3333333333333339</v>
      </c>
      <c r="K9" s="33">
        <v>13.014084507042254</v>
      </c>
      <c r="L9" s="33">
        <v>11.116584564860426</v>
      </c>
      <c r="M9" s="33">
        <v>10.813084112149532</v>
      </c>
      <c r="N9" s="33">
        <v>11.081272084805654</v>
      </c>
      <c r="O9" s="33">
        <v>14.502304147465438</v>
      </c>
      <c r="P9" s="33">
        <v>10.229116945107398</v>
      </c>
      <c r="Q9" s="33">
        <v>11.911290322580646</v>
      </c>
      <c r="R9" s="33">
        <v>11.529828109201214</v>
      </c>
      <c r="S9" s="33">
        <v>10.909677419354839</v>
      </c>
      <c r="T9" s="33">
        <v>9.8434782608695652</v>
      </c>
      <c r="U9" s="33">
        <v>9.2490706319702607</v>
      </c>
      <c r="V9" s="33">
        <v>11.706879574129966</v>
      </c>
    </row>
    <row r="10" spans="1:22">
      <c r="A10" s="168"/>
      <c r="B10" s="13"/>
      <c r="C10" s="13" t="s">
        <v>5</v>
      </c>
      <c r="D10" s="13"/>
      <c r="E10" s="13"/>
      <c r="F10" s="35">
        <v>7.8065929480492384</v>
      </c>
      <c r="G10" s="35">
        <v>9.8530624263839819</v>
      </c>
      <c r="H10" s="35">
        <v>7.62677304964539</v>
      </c>
      <c r="I10" s="35">
        <v>7.9896021632281098</v>
      </c>
      <c r="J10" s="35">
        <v>5.6470588235294121</v>
      </c>
      <c r="K10" s="35">
        <v>8.8149038461538467</v>
      </c>
      <c r="L10" s="35">
        <v>7.8062709966405377</v>
      </c>
      <c r="M10" s="35">
        <v>8.8650306748466257</v>
      </c>
      <c r="N10" s="35">
        <v>8.058672533920058</v>
      </c>
      <c r="O10" s="35">
        <v>10.805767470247178</v>
      </c>
      <c r="P10" s="35">
        <v>9.4812433011789921</v>
      </c>
      <c r="Q10" s="35">
        <v>8.7230215827338125</v>
      </c>
      <c r="R10" s="35">
        <v>7.9798719121683437</v>
      </c>
      <c r="S10" s="35">
        <v>7.6142131979695433</v>
      </c>
      <c r="T10" s="35">
        <v>9.131175468483816</v>
      </c>
      <c r="U10" s="35">
        <v>9.2860082304526745</v>
      </c>
      <c r="V10" s="35">
        <v>8.9933557851432262</v>
      </c>
    </row>
    <row r="11" spans="1:22" hidden="1">
      <c r="A11" s="168"/>
      <c r="B11" s="13"/>
      <c r="C11" s="13"/>
      <c r="D11" s="13"/>
      <c r="E11" s="13"/>
      <c r="F11" s="35"/>
      <c r="G11" s="35"/>
      <c r="H11" s="35"/>
      <c r="I11" s="35"/>
      <c r="J11" s="35"/>
      <c r="K11" s="35"/>
      <c r="L11" s="35"/>
      <c r="M11" s="35"/>
      <c r="N11" s="35"/>
      <c r="O11" s="35"/>
      <c r="P11" s="35"/>
      <c r="Q11" s="35"/>
      <c r="R11" s="35"/>
      <c r="S11" s="35"/>
      <c r="T11" s="35"/>
      <c r="U11" s="35"/>
      <c r="V11" s="35"/>
    </row>
    <row r="12" spans="1:22">
      <c r="A12" s="168"/>
      <c r="B12" s="11" t="s">
        <v>6</v>
      </c>
      <c r="C12" s="11"/>
      <c r="D12" s="11"/>
      <c r="E12" s="11"/>
      <c r="F12" s="32">
        <v>8.1545741324921135</v>
      </c>
      <c r="G12" s="32">
        <v>0</v>
      </c>
      <c r="H12" s="32">
        <v>0</v>
      </c>
      <c r="I12" s="32">
        <v>0</v>
      </c>
      <c r="J12" s="32">
        <v>17</v>
      </c>
      <c r="K12" s="32">
        <v>18.994897959183675</v>
      </c>
      <c r="L12" s="32">
        <v>12.731707317073171</v>
      </c>
      <c r="M12" s="32">
        <v>0</v>
      </c>
      <c r="N12" s="32">
        <v>12.069444444444445</v>
      </c>
      <c r="O12" s="32">
        <v>9.1464435146443517</v>
      </c>
      <c r="P12" s="32">
        <v>14.142857142857142</v>
      </c>
      <c r="Q12" s="32">
        <v>24</v>
      </c>
      <c r="R12" s="32">
        <v>0</v>
      </c>
      <c r="S12" s="32">
        <v>0</v>
      </c>
      <c r="T12" s="32">
        <v>0</v>
      </c>
      <c r="U12" s="32">
        <v>0</v>
      </c>
      <c r="V12" s="32">
        <v>12.043404972608512</v>
      </c>
    </row>
    <row r="13" spans="1:22">
      <c r="A13" s="168"/>
      <c r="B13" s="12"/>
      <c r="C13" s="12" t="s">
        <v>7</v>
      </c>
      <c r="D13" s="12"/>
      <c r="E13" s="12"/>
      <c r="F13" s="33">
        <v>0</v>
      </c>
      <c r="G13" s="33">
        <v>0</v>
      </c>
      <c r="H13" s="33">
        <v>0</v>
      </c>
      <c r="I13" s="33">
        <v>0</v>
      </c>
      <c r="J13" s="33">
        <v>17</v>
      </c>
      <c r="K13" s="33">
        <v>18.994897959183675</v>
      </c>
      <c r="L13" s="33">
        <v>0</v>
      </c>
      <c r="M13" s="33">
        <v>0</v>
      </c>
      <c r="N13" s="33">
        <v>0</v>
      </c>
      <c r="O13" s="33">
        <v>0</v>
      </c>
      <c r="P13" s="33">
        <v>0</v>
      </c>
      <c r="Q13" s="33">
        <v>0</v>
      </c>
      <c r="R13" s="33">
        <v>0</v>
      </c>
      <c r="S13" s="33">
        <v>0</v>
      </c>
      <c r="T13" s="33">
        <v>0</v>
      </c>
      <c r="U13" s="33">
        <v>0</v>
      </c>
      <c r="V13" s="33">
        <v>18.991511035653652</v>
      </c>
    </row>
    <row r="14" spans="1:22">
      <c r="A14" s="168"/>
      <c r="B14" s="13"/>
      <c r="C14" s="13" t="s">
        <v>8</v>
      </c>
      <c r="D14" s="13"/>
      <c r="E14" s="13"/>
      <c r="F14" s="35">
        <v>8.1545741324921135</v>
      </c>
      <c r="G14" s="35">
        <v>0</v>
      </c>
      <c r="H14" s="35">
        <v>0</v>
      </c>
      <c r="I14" s="35">
        <v>0</v>
      </c>
      <c r="J14" s="35">
        <v>0</v>
      </c>
      <c r="K14" s="35">
        <v>0</v>
      </c>
      <c r="L14" s="35">
        <v>12.731707317073171</v>
      </c>
      <c r="M14" s="35">
        <v>0</v>
      </c>
      <c r="N14" s="35">
        <v>12.069444444444445</v>
      </c>
      <c r="O14" s="35">
        <v>9.1464435146443517</v>
      </c>
      <c r="P14" s="35">
        <v>14.142857142857142</v>
      </c>
      <c r="Q14" s="35">
        <v>24</v>
      </c>
      <c r="R14" s="35">
        <v>0</v>
      </c>
      <c r="S14" s="35">
        <v>0</v>
      </c>
      <c r="T14" s="35">
        <v>0</v>
      </c>
      <c r="U14" s="35">
        <v>0</v>
      </c>
      <c r="V14" s="33">
        <v>9.7494394618834086</v>
      </c>
    </row>
    <row r="15" spans="1:22">
      <c r="A15" s="168"/>
      <c r="B15" s="11" t="s">
        <v>123</v>
      </c>
      <c r="C15" s="11"/>
      <c r="D15" s="11"/>
      <c r="E15" s="11"/>
      <c r="F15" s="32">
        <v>20.270935258632974</v>
      </c>
      <c r="G15" s="32">
        <v>21.953618778526408</v>
      </c>
      <c r="H15" s="32">
        <v>22.656335877862595</v>
      </c>
      <c r="I15" s="32">
        <v>22.030346160375021</v>
      </c>
      <c r="J15" s="32">
        <v>20.09273903666427</v>
      </c>
      <c r="K15" s="32">
        <v>20.497970230040597</v>
      </c>
      <c r="L15" s="32">
        <v>19.588001528467711</v>
      </c>
      <c r="M15" s="32">
        <v>20.708777969018932</v>
      </c>
      <c r="N15" s="32">
        <v>19.693268352116966</v>
      </c>
      <c r="O15" s="32">
        <v>24.05439399427085</v>
      </c>
      <c r="P15" s="32">
        <v>18.944263059701491</v>
      </c>
      <c r="Q15" s="32">
        <v>20.225950782997764</v>
      </c>
      <c r="R15" s="32">
        <v>21.367467398764585</v>
      </c>
      <c r="S15" s="32">
        <v>21.030238726790451</v>
      </c>
      <c r="T15" s="32">
        <v>21.710150306179255</v>
      </c>
      <c r="U15" s="32">
        <v>20.717100078802208</v>
      </c>
      <c r="V15" s="34">
        <v>21.374644895190642</v>
      </c>
    </row>
    <row r="16" spans="1:22">
      <c r="A16" s="168"/>
      <c r="B16" s="12"/>
      <c r="C16" s="12" t="s">
        <v>9</v>
      </c>
      <c r="D16" s="12"/>
      <c r="E16" s="12"/>
      <c r="F16" s="33">
        <v>20.068870674954617</v>
      </c>
      <c r="G16" s="33">
        <v>21.930987762237763</v>
      </c>
      <c r="H16" s="33">
        <v>22.676297665042835</v>
      </c>
      <c r="I16" s="33">
        <v>22.036217053988555</v>
      </c>
      <c r="J16" s="33">
        <v>20.025380710659899</v>
      </c>
      <c r="K16" s="33">
        <v>20.407971864009379</v>
      </c>
      <c r="L16" s="33">
        <v>19.563085907484247</v>
      </c>
      <c r="M16" s="33">
        <v>20.692921582234558</v>
      </c>
      <c r="N16" s="33">
        <v>19.652954559429379</v>
      </c>
      <c r="O16" s="33">
        <v>24.035975285676322</v>
      </c>
      <c r="P16" s="33">
        <v>18.911103302881237</v>
      </c>
      <c r="Q16" s="33">
        <v>20.177765237020317</v>
      </c>
      <c r="R16" s="33">
        <v>21.350714186659271</v>
      </c>
      <c r="S16" s="33">
        <v>21.018404907975459</v>
      </c>
      <c r="T16" s="33">
        <v>21.672990232907587</v>
      </c>
      <c r="U16" s="33">
        <v>21.028502122498484</v>
      </c>
      <c r="V16" s="33">
        <v>21.353937275250438</v>
      </c>
    </row>
    <row r="17" spans="1:22">
      <c r="A17" s="168"/>
      <c r="B17" s="12"/>
      <c r="C17" s="12" t="s">
        <v>187</v>
      </c>
      <c r="D17" s="12"/>
      <c r="E17" s="12"/>
      <c r="F17" s="33">
        <v>21.039953452288596</v>
      </c>
      <c r="G17" s="33">
        <v>0</v>
      </c>
      <c r="H17" s="33">
        <v>21.872659176029963</v>
      </c>
      <c r="I17" s="33">
        <v>22.274795268425841</v>
      </c>
      <c r="J17" s="33">
        <v>0</v>
      </c>
      <c r="K17" s="33">
        <v>20.204819277108435</v>
      </c>
      <c r="L17" s="33">
        <v>0</v>
      </c>
      <c r="M17" s="33">
        <v>0</v>
      </c>
      <c r="N17" s="33">
        <v>21.192982456140349</v>
      </c>
      <c r="O17" s="33">
        <v>19.35483870967742</v>
      </c>
      <c r="P17" s="33">
        <v>0</v>
      </c>
      <c r="Q17" s="33">
        <v>0</v>
      </c>
      <c r="R17" s="33">
        <v>21.318181818181817</v>
      </c>
      <c r="S17" s="33">
        <v>0</v>
      </c>
      <c r="T17" s="33">
        <v>0</v>
      </c>
      <c r="U17" s="33">
        <v>18.414784394250514</v>
      </c>
      <c r="V17" s="33">
        <v>20.77696311774379</v>
      </c>
    </row>
    <row r="18" spans="1:22">
      <c r="A18" s="168"/>
      <c r="B18" s="13"/>
      <c r="C18" s="13" t="s">
        <v>11</v>
      </c>
      <c r="D18" s="13"/>
      <c r="E18" s="13"/>
      <c r="F18" s="35">
        <v>25.983108108108109</v>
      </c>
      <c r="G18" s="35">
        <v>26.096</v>
      </c>
      <c r="H18" s="35">
        <v>27.412698412698411</v>
      </c>
      <c r="I18" s="35">
        <v>20.7</v>
      </c>
      <c r="J18" s="35">
        <v>27.833333333333332</v>
      </c>
      <c r="K18" s="35">
        <v>31.676470588235293</v>
      </c>
      <c r="L18" s="35">
        <v>24.154929577464788</v>
      </c>
      <c r="M18" s="35">
        <v>22.695652173913043</v>
      </c>
      <c r="N18" s="35">
        <v>25.694736842105264</v>
      </c>
      <c r="O18" s="35">
        <v>28.180487804878048</v>
      </c>
      <c r="P18" s="35">
        <v>26.394736842105264</v>
      </c>
      <c r="Q18" s="35">
        <v>25.5625</v>
      </c>
      <c r="R18" s="35">
        <v>23.71153846153846</v>
      </c>
      <c r="S18" s="35">
        <v>23.142857142857142</v>
      </c>
      <c r="T18" s="35">
        <v>24.753846153846155</v>
      </c>
      <c r="U18" s="35">
        <v>25</v>
      </c>
      <c r="V18" s="35">
        <v>26.076198630136986</v>
      </c>
    </row>
    <row r="19" spans="1:22">
      <c r="A19" s="168"/>
      <c r="B19" s="11" t="s">
        <v>124</v>
      </c>
      <c r="C19" s="11"/>
      <c r="D19" s="11"/>
      <c r="E19" s="11"/>
      <c r="F19" s="32">
        <v>23.543056185333278</v>
      </c>
      <c r="G19" s="32">
        <v>23.336605796615849</v>
      </c>
      <c r="H19" s="32">
        <v>23.552981343738569</v>
      </c>
      <c r="I19" s="32">
        <v>23.30170771397658</v>
      </c>
      <c r="J19" s="32">
        <v>21.415704387990761</v>
      </c>
      <c r="K19" s="32">
        <v>23.976669148672126</v>
      </c>
      <c r="L19" s="32">
        <v>23.147453441025299</v>
      </c>
      <c r="M19" s="32">
        <v>22.123676880222842</v>
      </c>
      <c r="N19" s="32">
        <v>23.140602055800294</v>
      </c>
      <c r="O19" s="32">
        <v>26.391274566626272</v>
      </c>
      <c r="P19" s="32">
        <v>24.431211736167263</v>
      </c>
      <c r="Q19" s="32">
        <v>24.631522323830016</v>
      </c>
      <c r="R19" s="32">
        <v>24.171233682229801</v>
      </c>
      <c r="S19" s="32">
        <v>23.002941176470589</v>
      </c>
      <c r="T19" s="32">
        <v>23.016681428993209</v>
      </c>
      <c r="U19" s="32">
        <v>22.089075630252101</v>
      </c>
      <c r="V19" s="32">
        <v>23.988780762323113</v>
      </c>
    </row>
    <row r="20" spans="1:22">
      <c r="A20" s="168"/>
      <c r="B20" s="12"/>
      <c r="C20" s="12" t="s">
        <v>12</v>
      </c>
      <c r="D20" s="12"/>
      <c r="E20" s="12"/>
      <c r="F20" s="33">
        <v>0</v>
      </c>
      <c r="G20" s="33">
        <v>27.095238095238095</v>
      </c>
      <c r="H20" s="33">
        <v>21.126878713736456</v>
      </c>
      <c r="I20" s="33">
        <v>21.69730137396904</v>
      </c>
      <c r="J20" s="33">
        <v>0</v>
      </c>
      <c r="K20" s="33">
        <v>18.826086956521738</v>
      </c>
      <c r="L20" s="33">
        <v>21.418421052631579</v>
      </c>
      <c r="M20" s="33">
        <v>0</v>
      </c>
      <c r="N20" s="33">
        <v>0</v>
      </c>
      <c r="O20" s="33">
        <v>0</v>
      </c>
      <c r="P20" s="33">
        <v>0</v>
      </c>
      <c r="Q20" s="33">
        <v>0</v>
      </c>
      <c r="R20" s="33">
        <v>0</v>
      </c>
      <c r="S20" s="33">
        <v>0</v>
      </c>
      <c r="T20" s="33">
        <v>0</v>
      </c>
      <c r="U20" s="33">
        <v>0</v>
      </c>
      <c r="V20" s="33">
        <v>21.383946168631159</v>
      </c>
    </row>
    <row r="21" spans="1:22">
      <c r="A21" s="168"/>
      <c r="B21" s="12"/>
      <c r="C21" s="12" t="s">
        <v>13</v>
      </c>
      <c r="D21" s="12"/>
      <c r="E21" s="12"/>
      <c r="F21" s="33">
        <v>19.075381263616556</v>
      </c>
      <c r="G21" s="33">
        <v>0</v>
      </c>
      <c r="H21" s="33">
        <v>0</v>
      </c>
      <c r="I21" s="33">
        <v>0</v>
      </c>
      <c r="J21" s="33">
        <v>0</v>
      </c>
      <c r="K21" s="33">
        <v>0</v>
      </c>
      <c r="L21" s="33">
        <v>15.239842726081259</v>
      </c>
      <c r="M21" s="33">
        <v>0</v>
      </c>
      <c r="N21" s="33">
        <v>15.75931928687196</v>
      </c>
      <c r="O21" s="33">
        <v>20.844797936371453</v>
      </c>
      <c r="P21" s="33">
        <v>7.4375</v>
      </c>
      <c r="Q21" s="33">
        <v>0</v>
      </c>
      <c r="R21" s="33">
        <v>0</v>
      </c>
      <c r="S21" s="33">
        <v>0</v>
      </c>
      <c r="T21" s="33">
        <v>0</v>
      </c>
      <c r="U21" s="33">
        <v>0</v>
      </c>
      <c r="V21" s="33">
        <v>18.262133297282681</v>
      </c>
    </row>
    <row r="22" spans="1:22">
      <c r="A22" s="168"/>
      <c r="B22" s="12"/>
      <c r="C22" s="12" t="s">
        <v>188</v>
      </c>
      <c r="D22" s="12"/>
      <c r="E22" s="12"/>
      <c r="F22" s="33">
        <v>0</v>
      </c>
      <c r="G22" s="33">
        <v>20.239062499999999</v>
      </c>
      <c r="H22" s="33">
        <v>0</v>
      </c>
      <c r="I22" s="33">
        <v>22.819707846053106</v>
      </c>
      <c r="J22" s="33">
        <v>0</v>
      </c>
      <c r="K22" s="33">
        <v>0</v>
      </c>
      <c r="L22" s="33">
        <v>19.769767441860466</v>
      </c>
      <c r="M22" s="33">
        <v>21.637510513036165</v>
      </c>
      <c r="N22" s="33">
        <v>20.120862774265525</v>
      </c>
      <c r="O22" s="33">
        <v>0</v>
      </c>
      <c r="P22" s="33">
        <v>22.356160690212995</v>
      </c>
      <c r="Q22" s="33">
        <v>6.5714285714285712</v>
      </c>
      <c r="R22" s="33">
        <v>23.874234303215925</v>
      </c>
      <c r="S22" s="33">
        <v>22.096094552929085</v>
      </c>
      <c r="T22" s="33">
        <v>0</v>
      </c>
      <c r="U22" s="33">
        <v>21.709281164695177</v>
      </c>
      <c r="V22" s="33">
        <v>21.454878655518169</v>
      </c>
    </row>
    <row r="23" spans="1:22">
      <c r="A23" s="168"/>
      <c r="B23" s="12"/>
      <c r="C23" s="12" t="s">
        <v>15</v>
      </c>
      <c r="D23" s="12"/>
      <c r="E23" s="12"/>
      <c r="F23" s="33">
        <v>24.399771036061821</v>
      </c>
      <c r="G23" s="33">
        <v>24.930761833529225</v>
      </c>
      <c r="H23" s="33">
        <v>0</v>
      </c>
      <c r="I23" s="33">
        <v>0</v>
      </c>
      <c r="J23" s="33">
        <v>0</v>
      </c>
      <c r="K23" s="33">
        <v>0</v>
      </c>
      <c r="L23" s="33">
        <v>24.086909484313018</v>
      </c>
      <c r="M23" s="33">
        <v>0</v>
      </c>
      <c r="N23" s="33">
        <v>23.415116739216462</v>
      </c>
      <c r="O23" s="33">
        <v>26.735869274042326</v>
      </c>
      <c r="P23" s="33">
        <v>28.595959595959595</v>
      </c>
      <c r="Q23" s="33">
        <v>26.102564102564102</v>
      </c>
      <c r="R23" s="33">
        <v>0</v>
      </c>
      <c r="S23" s="33">
        <v>0</v>
      </c>
      <c r="T23" s="33">
        <v>0</v>
      </c>
      <c r="U23" s="33">
        <v>0</v>
      </c>
      <c r="V23" s="33">
        <v>25.030034195754563</v>
      </c>
    </row>
    <row r="24" spans="1:22">
      <c r="A24" s="168"/>
      <c r="B24" s="12"/>
      <c r="C24" s="12" t="s">
        <v>16</v>
      </c>
      <c r="D24" s="12"/>
      <c r="E24" s="12"/>
      <c r="F24" s="33">
        <v>25.457536627762604</v>
      </c>
      <c r="G24" s="33"/>
      <c r="H24" s="33">
        <v>28.225501770956317</v>
      </c>
      <c r="I24" s="33">
        <v>25.717436608525716</v>
      </c>
      <c r="J24" s="33">
        <v>26.003649635036496</v>
      </c>
      <c r="K24" s="33">
        <v>25.24643078833023</v>
      </c>
      <c r="L24" s="33">
        <v>25.424879106219777</v>
      </c>
      <c r="M24" s="33">
        <v>23.239557739557739</v>
      </c>
      <c r="N24" s="33">
        <v>25.803660322108346</v>
      </c>
      <c r="O24" s="33">
        <v>27.117872845278804</v>
      </c>
      <c r="P24" s="33">
        <v>25.618016964024569</v>
      </c>
      <c r="Q24" s="33">
        <v>24.614008941877795</v>
      </c>
      <c r="R24" s="33">
        <v>24.633504492939664</v>
      </c>
      <c r="S24" s="33">
        <v>23.969919786096256</v>
      </c>
      <c r="T24" s="33">
        <v>25.17378800328677</v>
      </c>
      <c r="U24" s="33">
        <v>23.373543522960933</v>
      </c>
      <c r="V24" s="33">
        <v>25.703709114476389</v>
      </c>
    </row>
    <row r="25" spans="1:22">
      <c r="A25" s="168"/>
      <c r="B25" s="12"/>
      <c r="C25" s="12" t="s">
        <v>187</v>
      </c>
      <c r="D25" s="12"/>
      <c r="E25" s="12"/>
      <c r="F25" s="33">
        <v>21.248911149825783</v>
      </c>
      <c r="G25" s="33">
        <v>23.797468354430379</v>
      </c>
      <c r="H25" s="33">
        <v>23.270393610952652</v>
      </c>
      <c r="I25" s="33">
        <v>23.51492961302948</v>
      </c>
      <c r="J25" s="33">
        <v>20.515172900494001</v>
      </c>
      <c r="K25" s="33">
        <v>23.009918068132816</v>
      </c>
      <c r="L25" s="33">
        <v>22.854236258730641</v>
      </c>
      <c r="M25" s="33">
        <v>22.618279569892472</v>
      </c>
      <c r="N25" s="33">
        <v>25.255916159567274</v>
      </c>
      <c r="O25" s="33">
        <v>26.518650763503761</v>
      </c>
      <c r="P25" s="33">
        <v>27.006617647058825</v>
      </c>
      <c r="Q25" s="33">
        <v>24.735426008968609</v>
      </c>
      <c r="R25" s="33">
        <v>24.650793650793652</v>
      </c>
      <c r="S25" s="33">
        <v>23.378320935175346</v>
      </c>
      <c r="T25" s="33">
        <v>21.736817325800377</v>
      </c>
      <c r="U25" s="33">
        <v>21.039142590866728</v>
      </c>
      <c r="V25" s="33">
        <v>24.032205526379201</v>
      </c>
    </row>
    <row r="26" spans="1:22">
      <c r="A26" s="168"/>
      <c r="B26" s="12"/>
      <c r="C26" s="12" t="s">
        <v>11</v>
      </c>
      <c r="D26" s="12"/>
      <c r="E26" s="12"/>
      <c r="F26" s="33">
        <v>20.49155722326454</v>
      </c>
      <c r="G26" s="33">
        <v>25.870056497175142</v>
      </c>
      <c r="H26" s="33">
        <v>27.988372093023255</v>
      </c>
      <c r="I26" s="33">
        <v>25.596026490066226</v>
      </c>
      <c r="J26" s="33">
        <v>28.611111111111111</v>
      </c>
      <c r="K26" s="33">
        <v>33.125</v>
      </c>
      <c r="L26" s="33">
        <v>25.98</v>
      </c>
      <c r="M26" s="33">
        <v>24.576923076923077</v>
      </c>
      <c r="N26" s="33">
        <v>24.624113475177303</v>
      </c>
      <c r="O26" s="33">
        <v>28.438538205980066</v>
      </c>
      <c r="P26" s="33">
        <v>24.351851851851851</v>
      </c>
      <c r="Q26" s="33">
        <v>23.4</v>
      </c>
      <c r="R26" s="33">
        <v>25.691176470588236</v>
      </c>
      <c r="S26" s="33">
        <v>22.181818181818183</v>
      </c>
      <c r="T26" s="33">
        <v>25.043478260869566</v>
      </c>
      <c r="U26" s="33">
        <v>25</v>
      </c>
      <c r="V26" s="33">
        <v>24.678243105209397</v>
      </c>
    </row>
    <row r="27" spans="1:22">
      <c r="A27" s="168"/>
      <c r="B27" s="12"/>
      <c r="C27" s="12" t="s">
        <v>17</v>
      </c>
      <c r="D27" s="12"/>
      <c r="E27" s="12"/>
      <c r="F27" s="33">
        <v>0</v>
      </c>
      <c r="G27" s="33">
        <v>0</v>
      </c>
      <c r="H27" s="33">
        <v>20.6875</v>
      </c>
      <c r="I27" s="33">
        <v>0</v>
      </c>
      <c r="J27" s="33">
        <v>17</v>
      </c>
      <c r="K27" s="33">
        <v>0</v>
      </c>
      <c r="L27" s="33">
        <v>14.409090909090908</v>
      </c>
      <c r="M27" s="33">
        <v>0</v>
      </c>
      <c r="N27" s="33">
        <v>0</v>
      </c>
      <c r="O27" s="33">
        <v>0</v>
      </c>
      <c r="P27" s="33">
        <v>0</v>
      </c>
      <c r="Q27" s="33">
        <v>0</v>
      </c>
      <c r="R27" s="33">
        <v>0</v>
      </c>
      <c r="S27" s="33">
        <v>0</v>
      </c>
      <c r="T27" s="33">
        <v>0</v>
      </c>
      <c r="U27" s="33">
        <v>0</v>
      </c>
      <c r="V27" s="33">
        <v>17.044444444444444</v>
      </c>
    </row>
    <row r="28" spans="1:22">
      <c r="A28" s="168"/>
      <c r="B28" s="13"/>
      <c r="C28" s="13" t="s">
        <v>18</v>
      </c>
      <c r="D28" s="13"/>
      <c r="E28" s="13"/>
      <c r="F28" s="35">
        <v>13.78</v>
      </c>
      <c r="G28" s="35">
        <v>20.066666666666666</v>
      </c>
      <c r="H28" s="35">
        <v>15.157894736842104</v>
      </c>
      <c r="I28" s="35">
        <v>0</v>
      </c>
      <c r="J28" s="35">
        <v>16.4375</v>
      </c>
      <c r="K28" s="35">
        <v>19.535714285714285</v>
      </c>
      <c r="L28" s="35">
        <v>16.212499999999999</v>
      </c>
      <c r="M28" s="35">
        <v>0</v>
      </c>
      <c r="N28" s="35">
        <v>0</v>
      </c>
      <c r="O28" s="35">
        <v>20.021447721179623</v>
      </c>
      <c r="P28" s="35">
        <v>0</v>
      </c>
      <c r="Q28" s="35">
        <v>22.5</v>
      </c>
      <c r="R28" s="35">
        <v>23.46875</v>
      </c>
      <c r="S28" s="35">
        <v>21</v>
      </c>
      <c r="T28" s="35">
        <v>0</v>
      </c>
      <c r="U28" s="35">
        <v>0</v>
      </c>
      <c r="V28" s="33">
        <v>20.235109717868337</v>
      </c>
    </row>
    <row r="29" spans="1:22">
      <c r="A29" s="168"/>
      <c r="B29" s="9" t="s">
        <v>125</v>
      </c>
      <c r="C29" s="9"/>
      <c r="D29" s="9"/>
      <c r="E29" s="9"/>
      <c r="F29" s="31" t="s">
        <v>55</v>
      </c>
      <c r="G29" s="31" t="s">
        <v>55</v>
      </c>
      <c r="H29" s="31" t="s">
        <v>55</v>
      </c>
      <c r="I29" s="31" t="s">
        <v>55</v>
      </c>
      <c r="J29" s="31" t="s">
        <v>55</v>
      </c>
      <c r="K29" s="31" t="s">
        <v>55</v>
      </c>
      <c r="L29" s="31" t="s">
        <v>55</v>
      </c>
      <c r="M29" s="31" t="s">
        <v>55</v>
      </c>
      <c r="N29" s="31" t="s">
        <v>55</v>
      </c>
      <c r="O29" s="31" t="s">
        <v>55</v>
      </c>
      <c r="P29" s="31" t="s">
        <v>55</v>
      </c>
      <c r="Q29" s="31" t="s">
        <v>55</v>
      </c>
      <c r="R29" s="31" t="s">
        <v>55</v>
      </c>
      <c r="S29" s="31" t="s">
        <v>55</v>
      </c>
      <c r="T29" s="31" t="s">
        <v>55</v>
      </c>
      <c r="U29" s="31" t="s">
        <v>55</v>
      </c>
      <c r="V29" s="31" t="s">
        <v>55</v>
      </c>
    </row>
    <row r="30" spans="1:22" ht="25.5" customHeight="1">
      <c r="A30" s="168"/>
      <c r="B30" s="183" t="s">
        <v>132</v>
      </c>
      <c r="C30" s="183"/>
      <c r="D30" s="183"/>
      <c r="E30" s="183"/>
      <c r="F30" s="32" t="s">
        <v>55</v>
      </c>
      <c r="G30" s="32" t="s">
        <v>55</v>
      </c>
      <c r="H30" s="32" t="s">
        <v>55</v>
      </c>
      <c r="I30" s="32" t="s">
        <v>55</v>
      </c>
      <c r="J30" s="32" t="s">
        <v>55</v>
      </c>
      <c r="K30" s="32" t="s">
        <v>55</v>
      </c>
      <c r="L30" s="32" t="s">
        <v>55</v>
      </c>
      <c r="M30" s="32" t="s">
        <v>55</v>
      </c>
      <c r="N30" s="32" t="s">
        <v>55</v>
      </c>
      <c r="O30" s="32" t="s">
        <v>55</v>
      </c>
      <c r="P30" s="32" t="s">
        <v>55</v>
      </c>
      <c r="Q30" s="32" t="s">
        <v>55</v>
      </c>
      <c r="R30" s="32" t="s">
        <v>55</v>
      </c>
      <c r="S30" s="32" t="s">
        <v>55</v>
      </c>
      <c r="T30" s="32" t="s">
        <v>55</v>
      </c>
      <c r="U30" s="32" t="s">
        <v>55</v>
      </c>
      <c r="V30" s="32" t="s">
        <v>55</v>
      </c>
    </row>
    <row r="31" spans="1:22">
      <c r="A31" s="168"/>
      <c r="B31" s="12"/>
      <c r="C31" s="12" t="s">
        <v>16</v>
      </c>
      <c r="D31" s="12"/>
      <c r="E31" s="12"/>
      <c r="F31" s="33" t="s">
        <v>55</v>
      </c>
      <c r="G31" s="33" t="s">
        <v>55</v>
      </c>
      <c r="H31" s="33" t="s">
        <v>55</v>
      </c>
      <c r="I31" s="33" t="s">
        <v>55</v>
      </c>
      <c r="J31" s="33" t="s">
        <v>55</v>
      </c>
      <c r="K31" s="33" t="s">
        <v>55</v>
      </c>
      <c r="L31" s="33" t="s">
        <v>55</v>
      </c>
      <c r="M31" s="33" t="s">
        <v>55</v>
      </c>
      <c r="N31" s="33" t="s">
        <v>55</v>
      </c>
      <c r="O31" s="33" t="s">
        <v>55</v>
      </c>
      <c r="P31" s="33" t="s">
        <v>55</v>
      </c>
      <c r="Q31" s="33" t="s">
        <v>55</v>
      </c>
      <c r="R31" s="33" t="s">
        <v>55</v>
      </c>
      <c r="S31" s="33" t="s">
        <v>55</v>
      </c>
      <c r="T31" s="33" t="s">
        <v>55</v>
      </c>
      <c r="U31" s="33" t="s">
        <v>55</v>
      </c>
      <c r="V31" s="33" t="s">
        <v>55</v>
      </c>
    </row>
    <row r="32" spans="1:22">
      <c r="A32" s="168"/>
      <c r="B32" s="12"/>
      <c r="C32" s="12" t="s">
        <v>187</v>
      </c>
      <c r="D32" s="12"/>
      <c r="E32" s="12"/>
      <c r="F32" s="33" t="s">
        <v>55</v>
      </c>
      <c r="G32" s="33" t="s">
        <v>55</v>
      </c>
      <c r="H32" s="33" t="s">
        <v>55</v>
      </c>
      <c r="I32" s="33" t="s">
        <v>55</v>
      </c>
      <c r="J32" s="33" t="s">
        <v>55</v>
      </c>
      <c r="K32" s="33" t="s">
        <v>55</v>
      </c>
      <c r="L32" s="33" t="s">
        <v>55</v>
      </c>
      <c r="M32" s="33" t="s">
        <v>55</v>
      </c>
      <c r="N32" s="33" t="s">
        <v>55</v>
      </c>
      <c r="O32" s="33" t="s">
        <v>55</v>
      </c>
      <c r="P32" s="33" t="s">
        <v>55</v>
      </c>
      <c r="Q32" s="33" t="s">
        <v>55</v>
      </c>
      <c r="R32" s="33" t="s">
        <v>55</v>
      </c>
      <c r="S32" s="33" t="s">
        <v>55</v>
      </c>
      <c r="T32" s="33" t="s">
        <v>55</v>
      </c>
      <c r="U32" s="33" t="s">
        <v>55</v>
      </c>
      <c r="V32" s="33" t="s">
        <v>55</v>
      </c>
    </row>
    <row r="33" spans="1:22">
      <c r="A33" s="168"/>
      <c r="B33" s="12"/>
      <c r="C33" s="12" t="s">
        <v>11</v>
      </c>
      <c r="D33" s="12"/>
      <c r="E33" s="12"/>
      <c r="F33" s="33" t="s">
        <v>55</v>
      </c>
      <c r="G33" s="33" t="s">
        <v>55</v>
      </c>
      <c r="H33" s="33" t="s">
        <v>55</v>
      </c>
      <c r="I33" s="33" t="s">
        <v>55</v>
      </c>
      <c r="J33" s="33" t="s">
        <v>55</v>
      </c>
      <c r="K33" s="33" t="s">
        <v>55</v>
      </c>
      <c r="L33" s="33" t="s">
        <v>55</v>
      </c>
      <c r="M33" s="33" t="s">
        <v>55</v>
      </c>
      <c r="N33" s="33" t="s">
        <v>55</v>
      </c>
      <c r="O33" s="33" t="s">
        <v>55</v>
      </c>
      <c r="P33" s="33" t="s">
        <v>55</v>
      </c>
      <c r="Q33" s="33" t="s">
        <v>55</v>
      </c>
      <c r="R33" s="33" t="s">
        <v>55</v>
      </c>
      <c r="S33" s="33" t="s">
        <v>55</v>
      </c>
      <c r="T33" s="33" t="s">
        <v>55</v>
      </c>
      <c r="U33" s="33" t="s">
        <v>55</v>
      </c>
      <c r="V33" s="33" t="s">
        <v>55</v>
      </c>
    </row>
    <row r="34" spans="1:22">
      <c r="A34" s="168"/>
      <c r="B34" s="12"/>
      <c r="C34" s="12" t="s">
        <v>19</v>
      </c>
      <c r="D34" s="12"/>
      <c r="E34" s="12"/>
      <c r="F34" s="33" t="s">
        <v>55</v>
      </c>
      <c r="G34" s="33" t="s">
        <v>55</v>
      </c>
      <c r="H34" s="33" t="s">
        <v>55</v>
      </c>
      <c r="I34" s="33" t="s">
        <v>55</v>
      </c>
      <c r="J34" s="33" t="s">
        <v>55</v>
      </c>
      <c r="K34" s="33" t="s">
        <v>55</v>
      </c>
      <c r="L34" s="33" t="s">
        <v>55</v>
      </c>
      <c r="M34" s="33" t="s">
        <v>55</v>
      </c>
      <c r="N34" s="33" t="s">
        <v>55</v>
      </c>
      <c r="O34" s="33" t="s">
        <v>55</v>
      </c>
      <c r="P34" s="33" t="s">
        <v>55</v>
      </c>
      <c r="Q34" s="33" t="s">
        <v>55</v>
      </c>
      <c r="R34" s="33" t="s">
        <v>55</v>
      </c>
      <c r="S34" s="33" t="s">
        <v>55</v>
      </c>
      <c r="T34" s="33" t="s">
        <v>55</v>
      </c>
      <c r="U34" s="33" t="s">
        <v>55</v>
      </c>
      <c r="V34" s="33" t="s">
        <v>55</v>
      </c>
    </row>
    <row r="35" spans="1:22">
      <c r="A35" s="168"/>
      <c r="B35" s="14"/>
      <c r="C35" s="14" t="s">
        <v>20</v>
      </c>
      <c r="D35" s="14"/>
      <c r="E35" s="14"/>
      <c r="F35" s="35" t="s">
        <v>55</v>
      </c>
      <c r="G35" s="35" t="s">
        <v>55</v>
      </c>
      <c r="H35" s="35" t="s">
        <v>55</v>
      </c>
      <c r="I35" s="35" t="s">
        <v>55</v>
      </c>
      <c r="J35" s="35" t="s">
        <v>55</v>
      </c>
      <c r="K35" s="35" t="s">
        <v>55</v>
      </c>
      <c r="L35" s="35" t="s">
        <v>55</v>
      </c>
      <c r="M35" s="35" t="s">
        <v>55</v>
      </c>
      <c r="N35" s="35" t="s">
        <v>55</v>
      </c>
      <c r="O35" s="35" t="s">
        <v>55</v>
      </c>
      <c r="P35" s="35" t="s">
        <v>55</v>
      </c>
      <c r="Q35" s="35" t="s">
        <v>55</v>
      </c>
      <c r="R35" s="35" t="s">
        <v>55</v>
      </c>
      <c r="S35" s="35" t="s">
        <v>55</v>
      </c>
      <c r="T35" s="35" t="s">
        <v>55</v>
      </c>
      <c r="U35" s="35" t="s">
        <v>55</v>
      </c>
      <c r="V35" s="35" t="s">
        <v>55</v>
      </c>
    </row>
    <row r="36" spans="1:22" ht="8.25" customHeight="1">
      <c r="A36" s="168"/>
      <c r="B36" s="15"/>
      <c r="C36" s="15"/>
      <c r="D36" s="15"/>
      <c r="E36" s="15"/>
      <c r="F36" s="33"/>
      <c r="G36" s="33"/>
      <c r="H36" s="33"/>
      <c r="I36" s="33"/>
      <c r="J36" s="33"/>
      <c r="K36" s="33"/>
      <c r="L36" s="33"/>
      <c r="M36" s="33"/>
      <c r="N36" s="33"/>
      <c r="O36" s="33"/>
      <c r="P36" s="33"/>
      <c r="Q36" s="33"/>
      <c r="R36" s="33"/>
      <c r="S36" s="33"/>
      <c r="T36" s="33"/>
      <c r="U36" s="33"/>
      <c r="V36" s="33"/>
    </row>
    <row r="37" spans="1:22" ht="12.75" customHeight="1">
      <c r="A37" s="168">
        <v>72</v>
      </c>
      <c r="B37" s="11" t="s">
        <v>128</v>
      </c>
      <c r="C37" s="11"/>
      <c r="D37" s="11"/>
      <c r="E37" s="11"/>
      <c r="F37" s="32" t="s">
        <v>55</v>
      </c>
      <c r="G37" s="32" t="s">
        <v>55</v>
      </c>
      <c r="H37" s="32" t="s">
        <v>55</v>
      </c>
      <c r="I37" s="32" t="s">
        <v>55</v>
      </c>
      <c r="J37" s="32" t="s">
        <v>55</v>
      </c>
      <c r="K37" s="32" t="s">
        <v>55</v>
      </c>
      <c r="L37" s="32" t="s">
        <v>55</v>
      </c>
      <c r="M37" s="32" t="s">
        <v>55</v>
      </c>
      <c r="N37" s="32" t="s">
        <v>55</v>
      </c>
      <c r="O37" s="32" t="s">
        <v>55</v>
      </c>
      <c r="P37" s="32" t="s">
        <v>55</v>
      </c>
      <c r="Q37" s="32" t="s">
        <v>55</v>
      </c>
      <c r="R37" s="32" t="s">
        <v>55</v>
      </c>
      <c r="S37" s="32" t="s">
        <v>55</v>
      </c>
      <c r="T37" s="32" t="s">
        <v>55</v>
      </c>
      <c r="U37" s="32" t="s">
        <v>55</v>
      </c>
      <c r="V37" s="32" t="s">
        <v>55</v>
      </c>
    </row>
    <row r="38" spans="1:22">
      <c r="A38" s="168"/>
      <c r="B38" s="12"/>
      <c r="C38" s="12" t="s">
        <v>21</v>
      </c>
      <c r="D38" s="12"/>
      <c r="E38" s="12"/>
      <c r="F38" s="33">
        <v>19.565149443250636</v>
      </c>
      <c r="G38" s="33">
        <v>20.95324371712449</v>
      </c>
      <c r="H38" s="33">
        <v>19.556680950525905</v>
      </c>
      <c r="I38" s="33">
        <v>16.553807426054121</v>
      </c>
      <c r="J38" s="33">
        <v>17.33495618305745</v>
      </c>
      <c r="K38" s="33">
        <v>19.125581395348838</v>
      </c>
      <c r="L38" s="33">
        <v>17.226109919128568</v>
      </c>
      <c r="M38" s="33">
        <v>19.319834710743802</v>
      </c>
      <c r="N38" s="33">
        <v>17.046566745342567</v>
      </c>
      <c r="O38" s="33">
        <v>18.580892887844577</v>
      </c>
      <c r="P38" s="33">
        <v>16.996659815005138</v>
      </c>
      <c r="Q38" s="33">
        <v>15.761222540592168</v>
      </c>
      <c r="R38" s="33">
        <v>18.357445520581113</v>
      </c>
      <c r="S38" s="33">
        <v>16.970073404856013</v>
      </c>
      <c r="T38" s="33">
        <v>15.961700929315686</v>
      </c>
      <c r="U38" s="33">
        <v>16.303899082568808</v>
      </c>
      <c r="V38" s="33">
        <v>18.462050016089915</v>
      </c>
    </row>
    <row r="39" spans="1:22">
      <c r="A39" s="168"/>
      <c r="B39" s="12"/>
      <c r="C39" s="12"/>
      <c r="D39" s="12" t="s">
        <v>22</v>
      </c>
      <c r="E39" s="12"/>
      <c r="F39" s="33">
        <v>20.192008243645525</v>
      </c>
      <c r="G39" s="33">
        <v>21.266976479514415</v>
      </c>
      <c r="H39" s="33">
        <v>19.968568665377177</v>
      </c>
      <c r="I39" s="33">
        <v>16.553807426054121</v>
      </c>
      <c r="J39" s="33">
        <v>18.475330926594463</v>
      </c>
      <c r="K39" s="33">
        <v>20.448652118100128</v>
      </c>
      <c r="L39" s="33">
        <v>17.280544607667501</v>
      </c>
      <c r="M39" s="33">
        <v>19.680648236415635</v>
      </c>
      <c r="N39" s="33">
        <v>17.288557601195688</v>
      </c>
      <c r="O39" s="33">
        <v>18.573069479992508</v>
      </c>
      <c r="P39" s="33">
        <v>17.202943673931504</v>
      </c>
      <c r="Q39" s="33">
        <v>15.95069667738478</v>
      </c>
      <c r="R39" s="33">
        <v>18.127760788311246</v>
      </c>
      <c r="S39" s="33">
        <v>17.611001964636543</v>
      </c>
      <c r="T39" s="33">
        <v>15.99186440677966</v>
      </c>
      <c r="U39" s="33">
        <v>16.764299182903834</v>
      </c>
      <c r="V39" s="33">
        <v>18.693496221463448</v>
      </c>
    </row>
    <row r="40" spans="1:22">
      <c r="A40" s="168"/>
      <c r="B40" s="12"/>
      <c r="C40" s="12"/>
      <c r="D40" s="12" t="s">
        <v>23</v>
      </c>
      <c r="E40" s="12"/>
      <c r="F40" s="33">
        <v>15.890604026845638</v>
      </c>
      <c r="G40" s="33">
        <v>18.293280632411069</v>
      </c>
      <c r="H40" s="33">
        <v>17.849699398797597</v>
      </c>
      <c r="I40" s="33">
        <v>0</v>
      </c>
      <c r="J40" s="33">
        <v>12.5</v>
      </c>
      <c r="K40" s="33">
        <v>13.657824933687003</v>
      </c>
      <c r="L40" s="33">
        <v>16.589098532494759</v>
      </c>
      <c r="M40" s="33">
        <v>16.968944099378881</v>
      </c>
      <c r="N40" s="33">
        <v>15.070453871254754</v>
      </c>
      <c r="O40" s="33">
        <v>18.668531468531469</v>
      </c>
      <c r="P40" s="33">
        <v>14.966573816155989</v>
      </c>
      <c r="Q40" s="33">
        <v>14.210526315789474</v>
      </c>
      <c r="R40" s="33">
        <v>20.811320754716981</v>
      </c>
      <c r="S40" s="33">
        <v>12.959016393442623</v>
      </c>
      <c r="T40" s="33">
        <v>15.821731748726656</v>
      </c>
      <c r="U40" s="33">
        <v>11.516339869281046</v>
      </c>
      <c r="V40" s="33">
        <v>16.564172980842393</v>
      </c>
    </row>
    <row r="41" spans="1:22">
      <c r="A41" s="168"/>
      <c r="B41" s="12"/>
      <c r="C41" s="12"/>
      <c r="D41" s="12" t="s">
        <v>24</v>
      </c>
      <c r="E41" s="12"/>
      <c r="F41" s="33">
        <v>19.571428571428573</v>
      </c>
      <c r="G41" s="33">
        <v>21.291666666666668</v>
      </c>
      <c r="H41" s="33">
        <v>0</v>
      </c>
      <c r="I41" s="33">
        <v>0</v>
      </c>
      <c r="J41" s="33">
        <v>0</v>
      </c>
      <c r="K41" s="33">
        <v>0</v>
      </c>
      <c r="L41" s="33">
        <v>0</v>
      </c>
      <c r="M41" s="33">
        <v>0</v>
      </c>
      <c r="N41" s="33">
        <v>0</v>
      </c>
      <c r="O41" s="33">
        <v>0</v>
      </c>
      <c r="P41" s="33">
        <v>0</v>
      </c>
      <c r="Q41" s="33">
        <v>0</v>
      </c>
      <c r="R41" s="33">
        <v>15.930232558139535</v>
      </c>
      <c r="S41" s="33">
        <v>0</v>
      </c>
      <c r="T41" s="33">
        <v>15.416666666666666</v>
      </c>
      <c r="U41" s="33">
        <v>0</v>
      </c>
      <c r="V41" s="33">
        <v>19.919831223628691</v>
      </c>
    </row>
    <row r="42" spans="1:22">
      <c r="A42" s="168"/>
      <c r="B42" s="12"/>
      <c r="C42" s="12" t="s">
        <v>25</v>
      </c>
      <c r="D42" s="12"/>
      <c r="E42" s="12"/>
      <c r="F42" s="33">
        <v>21</v>
      </c>
      <c r="G42" s="33">
        <v>0</v>
      </c>
      <c r="H42" s="33">
        <v>0</v>
      </c>
      <c r="I42" s="33">
        <v>0</v>
      </c>
      <c r="J42" s="33">
        <v>0</v>
      </c>
      <c r="K42" s="33">
        <v>0</v>
      </c>
      <c r="L42" s="33">
        <v>0</v>
      </c>
      <c r="M42" s="33">
        <v>0</v>
      </c>
      <c r="N42" s="33">
        <v>0</v>
      </c>
      <c r="O42" s="33">
        <v>0</v>
      </c>
      <c r="P42" s="33">
        <v>0</v>
      </c>
      <c r="Q42" s="33">
        <v>0</v>
      </c>
      <c r="R42" s="33">
        <v>0</v>
      </c>
      <c r="S42" s="33">
        <v>0</v>
      </c>
      <c r="T42" s="33">
        <v>0</v>
      </c>
      <c r="U42" s="33">
        <v>0</v>
      </c>
      <c r="V42" s="33">
        <v>21</v>
      </c>
    </row>
    <row r="43" spans="1:22">
      <c r="A43" s="168"/>
      <c r="B43" s="12"/>
      <c r="C43" s="12" t="s">
        <v>26</v>
      </c>
      <c r="D43" s="12"/>
      <c r="E43" s="12"/>
      <c r="F43" s="33">
        <v>20.812246639641561</v>
      </c>
      <c r="G43" s="33">
        <v>18.350172215843859</v>
      </c>
      <c r="H43" s="33">
        <v>17.31484794275492</v>
      </c>
      <c r="I43" s="33">
        <v>18.47983870967742</v>
      </c>
      <c r="J43" s="33">
        <v>16.793749999999999</v>
      </c>
      <c r="K43" s="33">
        <v>19.442922374429223</v>
      </c>
      <c r="L43" s="33">
        <v>18.108535300316124</v>
      </c>
      <c r="M43" s="33">
        <v>18.865731462925851</v>
      </c>
      <c r="N43" s="33">
        <v>19.585292469746815</v>
      </c>
      <c r="O43" s="33">
        <v>20.548909522781258</v>
      </c>
      <c r="P43" s="33">
        <v>20.318825910931174</v>
      </c>
      <c r="Q43" s="33">
        <v>19.538860103626941</v>
      </c>
      <c r="R43" s="33">
        <v>17.970889063729349</v>
      </c>
      <c r="S43" s="33">
        <v>18.522099447513813</v>
      </c>
      <c r="T43" s="33">
        <v>19.955665024630541</v>
      </c>
      <c r="U43" s="33">
        <v>16.724932249322492</v>
      </c>
      <c r="V43" s="33">
        <v>19.67767807799612</v>
      </c>
    </row>
    <row r="44" spans="1:22">
      <c r="A44" s="168"/>
      <c r="B44" s="12"/>
      <c r="C44" s="12" t="s">
        <v>27</v>
      </c>
      <c r="D44" s="12"/>
      <c r="E44" s="12"/>
      <c r="F44" s="33">
        <v>17.157894736842106</v>
      </c>
      <c r="G44" s="33">
        <v>17.189964157706093</v>
      </c>
      <c r="H44" s="33">
        <v>9.7297297297297298</v>
      </c>
      <c r="I44" s="33">
        <v>0</v>
      </c>
      <c r="J44" s="33">
        <v>9.3333333333333339</v>
      </c>
      <c r="K44" s="33">
        <v>15.7</v>
      </c>
      <c r="L44" s="33">
        <v>0</v>
      </c>
      <c r="M44" s="33">
        <v>0</v>
      </c>
      <c r="N44" s="33">
        <v>19.000000000000007</v>
      </c>
      <c r="O44" s="33">
        <v>0</v>
      </c>
      <c r="P44" s="33">
        <v>13.304347826086957</v>
      </c>
      <c r="Q44" s="33">
        <v>0</v>
      </c>
      <c r="R44" s="33">
        <v>0</v>
      </c>
      <c r="S44" s="33">
        <v>0</v>
      </c>
      <c r="T44" s="33">
        <v>13.088235294117647</v>
      </c>
      <c r="U44" s="33">
        <v>0</v>
      </c>
      <c r="V44" s="33">
        <v>15.658174097664544</v>
      </c>
    </row>
    <row r="45" spans="1:22">
      <c r="A45" s="168"/>
      <c r="B45" s="12"/>
      <c r="C45" s="12" t="s">
        <v>28</v>
      </c>
      <c r="D45" s="12"/>
      <c r="E45" s="12"/>
      <c r="F45" s="33" t="s">
        <v>55</v>
      </c>
      <c r="G45" s="33" t="s">
        <v>55</v>
      </c>
      <c r="H45" s="33" t="s">
        <v>55</v>
      </c>
      <c r="I45" s="33" t="s">
        <v>55</v>
      </c>
      <c r="J45" s="33" t="s">
        <v>55</v>
      </c>
      <c r="K45" s="33" t="s">
        <v>55</v>
      </c>
      <c r="L45" s="33" t="s">
        <v>55</v>
      </c>
      <c r="M45" s="33" t="s">
        <v>55</v>
      </c>
      <c r="N45" s="33" t="s">
        <v>55</v>
      </c>
      <c r="O45" s="33" t="s">
        <v>55</v>
      </c>
      <c r="P45" s="33" t="s">
        <v>55</v>
      </c>
      <c r="Q45" s="33" t="s">
        <v>55</v>
      </c>
      <c r="R45" s="33" t="s">
        <v>55</v>
      </c>
      <c r="S45" s="33" t="s">
        <v>55</v>
      </c>
      <c r="T45" s="33" t="s">
        <v>55</v>
      </c>
      <c r="U45" s="33" t="s">
        <v>55</v>
      </c>
      <c r="V45" s="33" t="s">
        <v>55</v>
      </c>
    </row>
    <row r="46" spans="1:22">
      <c r="A46" s="168"/>
      <c r="B46" s="12"/>
      <c r="C46" s="12" t="s">
        <v>29</v>
      </c>
      <c r="D46" s="12"/>
      <c r="E46" s="12"/>
      <c r="F46" s="33">
        <v>0</v>
      </c>
      <c r="G46" s="33">
        <v>22.091730038022813</v>
      </c>
      <c r="H46" s="33">
        <v>19.650306748466257</v>
      </c>
      <c r="I46" s="33">
        <v>20.919117647058822</v>
      </c>
      <c r="J46" s="33">
        <v>18.04</v>
      </c>
      <c r="K46" s="33">
        <v>19.357142857142858</v>
      </c>
      <c r="L46" s="33">
        <v>21.003921568627451</v>
      </c>
      <c r="M46" s="33">
        <v>11</v>
      </c>
      <c r="N46" s="33">
        <v>20.544692737430481</v>
      </c>
      <c r="O46" s="33">
        <v>20.612857142857141</v>
      </c>
      <c r="P46" s="33">
        <v>16.765217391304347</v>
      </c>
      <c r="Q46" s="33">
        <v>19.741379310344829</v>
      </c>
      <c r="R46" s="33">
        <v>20.32236842105263</v>
      </c>
      <c r="S46" s="33">
        <v>19.488</v>
      </c>
      <c r="T46" s="33">
        <v>9.21875</v>
      </c>
      <c r="U46" s="33">
        <v>19.11392405063291</v>
      </c>
      <c r="V46" s="33">
        <v>20.938663745892704</v>
      </c>
    </row>
    <row r="47" spans="1:22">
      <c r="A47" s="168"/>
      <c r="B47" s="12"/>
      <c r="C47" s="12" t="s">
        <v>30</v>
      </c>
      <c r="D47" s="12"/>
      <c r="E47" s="12"/>
      <c r="F47" s="33">
        <v>18.733104238258878</v>
      </c>
      <c r="G47" s="33">
        <v>18.083217753120667</v>
      </c>
      <c r="H47" s="33">
        <v>16.718696397941681</v>
      </c>
      <c r="I47" s="33">
        <v>17.451505016722408</v>
      </c>
      <c r="J47" s="33">
        <v>16.712499999999999</v>
      </c>
      <c r="K47" s="33">
        <v>18.748633879781419</v>
      </c>
      <c r="L47" s="33">
        <v>16.546195652173914</v>
      </c>
      <c r="M47" s="33">
        <v>14.61</v>
      </c>
      <c r="N47" s="33">
        <v>17.381648936170389</v>
      </c>
      <c r="O47" s="33">
        <v>19.087238979118329</v>
      </c>
      <c r="P47" s="33">
        <v>19.583038869257951</v>
      </c>
      <c r="Q47" s="33">
        <v>18.712230215827336</v>
      </c>
      <c r="R47" s="33">
        <v>17.829218106995885</v>
      </c>
      <c r="S47" s="33">
        <v>16.164835164835164</v>
      </c>
      <c r="T47" s="33">
        <v>17.524916943521596</v>
      </c>
      <c r="U47" s="33">
        <v>16.029166666666665</v>
      </c>
      <c r="V47" s="33">
        <v>18.010250972074953</v>
      </c>
    </row>
    <row r="48" spans="1:22">
      <c r="A48" s="168"/>
      <c r="B48" s="12"/>
      <c r="C48" s="12" t="s">
        <v>31</v>
      </c>
      <c r="D48" s="12"/>
      <c r="E48" s="12"/>
      <c r="F48" s="35" t="s">
        <v>55</v>
      </c>
      <c r="G48" s="35" t="s">
        <v>55</v>
      </c>
      <c r="H48" s="35" t="s">
        <v>55</v>
      </c>
      <c r="I48" s="35" t="s">
        <v>55</v>
      </c>
      <c r="J48" s="35" t="s">
        <v>55</v>
      </c>
      <c r="K48" s="35" t="s">
        <v>55</v>
      </c>
      <c r="L48" s="35" t="s">
        <v>55</v>
      </c>
      <c r="M48" s="35" t="s">
        <v>55</v>
      </c>
      <c r="N48" s="35" t="s">
        <v>55</v>
      </c>
      <c r="O48" s="35" t="s">
        <v>55</v>
      </c>
      <c r="P48" s="35" t="s">
        <v>55</v>
      </c>
      <c r="Q48" s="35" t="s">
        <v>55</v>
      </c>
      <c r="R48" s="35" t="s">
        <v>55</v>
      </c>
      <c r="S48" s="35" t="s">
        <v>55</v>
      </c>
      <c r="T48" s="35" t="s">
        <v>55</v>
      </c>
      <c r="U48" s="35" t="s">
        <v>55</v>
      </c>
      <c r="V48" s="35" t="s">
        <v>55</v>
      </c>
    </row>
    <row r="49" spans="1:22" ht="24" customHeight="1">
      <c r="A49" s="168"/>
      <c r="B49" s="183" t="s">
        <v>129</v>
      </c>
      <c r="C49" s="183"/>
      <c r="D49" s="183"/>
      <c r="E49" s="183"/>
      <c r="F49" s="36" t="s">
        <v>55</v>
      </c>
      <c r="G49" s="36" t="s">
        <v>55</v>
      </c>
      <c r="H49" s="36" t="s">
        <v>55</v>
      </c>
      <c r="I49" s="36" t="s">
        <v>55</v>
      </c>
      <c r="J49" s="36" t="s">
        <v>55</v>
      </c>
      <c r="K49" s="36" t="s">
        <v>55</v>
      </c>
      <c r="L49" s="36" t="s">
        <v>55</v>
      </c>
      <c r="M49" s="36" t="s">
        <v>55</v>
      </c>
      <c r="N49" s="36" t="s">
        <v>55</v>
      </c>
      <c r="O49" s="36" t="s">
        <v>55</v>
      </c>
      <c r="P49" s="36" t="s">
        <v>55</v>
      </c>
      <c r="Q49" s="36" t="s">
        <v>55</v>
      </c>
      <c r="R49" s="36" t="s">
        <v>55</v>
      </c>
      <c r="S49" s="36" t="s">
        <v>55</v>
      </c>
      <c r="T49" s="36" t="s">
        <v>55</v>
      </c>
      <c r="U49" s="36" t="s">
        <v>55</v>
      </c>
      <c r="V49" s="36" t="s">
        <v>55</v>
      </c>
    </row>
    <row r="50" spans="1:22">
      <c r="A50" s="168"/>
      <c r="B50" s="12"/>
      <c r="C50" s="12" t="s">
        <v>21</v>
      </c>
      <c r="D50" s="12"/>
      <c r="E50" s="12"/>
      <c r="F50" s="33">
        <v>15.924867021276595</v>
      </c>
      <c r="G50" s="33">
        <v>18.64480111653873</v>
      </c>
      <c r="H50" s="33">
        <v>18.613691931540341</v>
      </c>
      <c r="I50" s="33">
        <v>0</v>
      </c>
      <c r="J50" s="33">
        <v>11.549668874172186</v>
      </c>
      <c r="K50" s="33">
        <v>14.5</v>
      </c>
      <c r="L50" s="33">
        <v>16.589098532494759</v>
      </c>
      <c r="M50" s="33">
        <v>18.578947368421051</v>
      </c>
      <c r="N50" s="33">
        <v>15.134155626617869</v>
      </c>
      <c r="O50" s="33">
        <v>18.668531468531469</v>
      </c>
      <c r="P50" s="33">
        <v>14.966573816155989</v>
      </c>
      <c r="Q50" s="33">
        <v>14.210526315789474</v>
      </c>
      <c r="R50" s="33">
        <v>22.470588235294116</v>
      </c>
      <c r="S50" s="33">
        <v>12.959016393442623</v>
      </c>
      <c r="T50" s="33">
        <v>16.632323232323234</v>
      </c>
      <c r="U50" s="33">
        <v>11.516339869281046</v>
      </c>
      <c r="V50" s="33">
        <v>16.850840121331913</v>
      </c>
    </row>
    <row r="51" spans="1:22">
      <c r="A51" s="168"/>
      <c r="B51" s="12"/>
      <c r="C51" s="12"/>
      <c r="D51" s="12" t="s">
        <v>23</v>
      </c>
      <c r="E51" s="12"/>
      <c r="F51" s="33">
        <v>15.890604026845638</v>
      </c>
      <c r="G51" s="33">
        <v>18.293280632411069</v>
      </c>
      <c r="H51" s="33">
        <v>18.613691931540341</v>
      </c>
      <c r="I51" s="33">
        <v>0</v>
      </c>
      <c r="J51" s="33">
        <v>11.549668874172186</v>
      </c>
      <c r="K51" s="33">
        <v>14.5</v>
      </c>
      <c r="L51" s="33">
        <v>16.589098532494759</v>
      </c>
      <c r="M51" s="33">
        <v>18.578947368421051</v>
      </c>
      <c r="N51" s="33">
        <v>15.134155626617869</v>
      </c>
      <c r="O51" s="33">
        <v>18.668531468531469</v>
      </c>
      <c r="P51" s="33">
        <v>14.966573816155989</v>
      </c>
      <c r="Q51" s="33">
        <v>14.210526315789474</v>
      </c>
      <c r="R51" s="33">
        <v>23.698689956331879</v>
      </c>
      <c r="S51" s="33">
        <v>12.959016393442623</v>
      </c>
      <c r="T51" s="33">
        <v>16.662525879917183</v>
      </c>
      <c r="U51" s="33">
        <v>11.516339869281046</v>
      </c>
      <c r="V51" s="33">
        <v>16.76155235606684</v>
      </c>
    </row>
    <row r="52" spans="1:22">
      <c r="A52" s="168"/>
      <c r="B52" s="12"/>
      <c r="C52" s="12"/>
      <c r="D52" s="12" t="s">
        <v>24</v>
      </c>
      <c r="E52" s="12"/>
      <c r="F52" s="33">
        <v>19.571428571428573</v>
      </c>
      <c r="G52" s="33">
        <v>21.291666666666668</v>
      </c>
      <c r="H52" s="33">
        <v>0</v>
      </c>
      <c r="I52" s="33">
        <v>0</v>
      </c>
      <c r="J52" s="33">
        <v>0</v>
      </c>
      <c r="K52" s="33">
        <v>0</v>
      </c>
      <c r="L52" s="33">
        <v>0</v>
      </c>
      <c r="M52" s="33">
        <v>0</v>
      </c>
      <c r="N52" s="33">
        <v>0</v>
      </c>
      <c r="O52" s="33">
        <v>0</v>
      </c>
      <c r="P52" s="33">
        <v>0</v>
      </c>
      <c r="Q52" s="33">
        <v>0</v>
      </c>
      <c r="R52" s="33">
        <v>15.930232558139535</v>
      </c>
      <c r="S52" s="33">
        <v>0</v>
      </c>
      <c r="T52" s="33">
        <v>15.416666666666666</v>
      </c>
      <c r="U52" s="33">
        <v>0</v>
      </c>
      <c r="V52" s="33">
        <v>19.919831223628691</v>
      </c>
    </row>
    <row r="53" spans="1:22">
      <c r="A53" s="168"/>
      <c r="B53" s="12"/>
      <c r="C53" s="12" t="s">
        <v>25</v>
      </c>
      <c r="D53" s="12"/>
      <c r="E53" s="12"/>
      <c r="F53" s="33">
        <v>21</v>
      </c>
      <c r="G53" s="33">
        <v>0</v>
      </c>
      <c r="H53" s="33">
        <v>0</v>
      </c>
      <c r="I53" s="33">
        <v>0</v>
      </c>
      <c r="J53" s="33">
        <v>0</v>
      </c>
      <c r="K53" s="33">
        <v>0</v>
      </c>
      <c r="L53" s="33">
        <v>0</v>
      </c>
      <c r="M53" s="33">
        <v>0</v>
      </c>
      <c r="N53" s="33">
        <v>0</v>
      </c>
      <c r="O53" s="33">
        <v>0</v>
      </c>
      <c r="P53" s="33">
        <v>0</v>
      </c>
      <c r="Q53" s="33">
        <v>0</v>
      </c>
      <c r="R53" s="33">
        <v>0</v>
      </c>
      <c r="S53" s="33">
        <v>0</v>
      </c>
      <c r="T53" s="33">
        <v>0</v>
      </c>
      <c r="U53" s="33">
        <v>0</v>
      </c>
      <c r="V53" s="33">
        <v>21</v>
      </c>
    </row>
    <row r="54" spans="1:22">
      <c r="A54" s="168"/>
      <c r="B54" s="12"/>
      <c r="C54" s="12" t="s">
        <v>26</v>
      </c>
      <c r="D54" s="12"/>
      <c r="E54" s="12"/>
      <c r="F54" s="33">
        <v>21.259911894273127</v>
      </c>
      <c r="G54" s="33">
        <v>18.447494033412887</v>
      </c>
      <c r="H54" s="33">
        <v>17.31484794275492</v>
      </c>
      <c r="I54" s="33">
        <v>18.47983870967742</v>
      </c>
      <c r="J54" s="33">
        <v>16.898089171974522</v>
      </c>
      <c r="K54" s="33">
        <v>19.410138248847925</v>
      </c>
      <c r="L54" s="33">
        <v>18.108535300316124</v>
      </c>
      <c r="M54" s="33">
        <v>18.935222672064778</v>
      </c>
      <c r="N54" s="33">
        <v>19.590102675895412</v>
      </c>
      <c r="O54" s="33">
        <v>20.548909522781258</v>
      </c>
      <c r="P54" s="33">
        <v>20.318825910931174</v>
      </c>
      <c r="Q54" s="33">
        <v>19.538860103626941</v>
      </c>
      <c r="R54" s="33">
        <v>18.37324525185797</v>
      </c>
      <c r="S54" s="33">
        <v>18.537815126050422</v>
      </c>
      <c r="T54" s="33">
        <v>19.955665024630541</v>
      </c>
      <c r="U54" s="33">
        <v>16.68413597733711</v>
      </c>
      <c r="V54" s="33">
        <v>19.711160695291333</v>
      </c>
    </row>
    <row r="55" spans="1:22">
      <c r="A55" s="168"/>
      <c r="B55" s="12"/>
      <c r="C55" s="12" t="s">
        <v>27</v>
      </c>
      <c r="D55" s="12"/>
      <c r="E55" s="12"/>
      <c r="F55" s="33">
        <v>17.157894736842106</v>
      </c>
      <c r="G55" s="33">
        <v>17.219424460431654</v>
      </c>
      <c r="H55" s="33">
        <v>10.235294117647058</v>
      </c>
      <c r="I55" s="33">
        <v>0</v>
      </c>
      <c r="J55" s="33">
        <v>9.3333333333333339</v>
      </c>
      <c r="K55" s="33">
        <v>15.7</v>
      </c>
      <c r="L55" s="33">
        <v>0</v>
      </c>
      <c r="M55" s="33">
        <v>0</v>
      </c>
      <c r="N55" s="33">
        <v>19.000000000000007</v>
      </c>
      <c r="O55" s="33">
        <v>0</v>
      </c>
      <c r="P55" s="33">
        <v>17.558823529411764</v>
      </c>
      <c r="Q55" s="33">
        <v>0</v>
      </c>
      <c r="R55" s="33">
        <v>0</v>
      </c>
      <c r="S55" s="33">
        <v>0</v>
      </c>
      <c r="T55" s="33">
        <v>13.088235294117647</v>
      </c>
      <c r="U55" s="33">
        <v>0</v>
      </c>
      <c r="V55" s="33">
        <v>16.280092592592592</v>
      </c>
    </row>
    <row r="56" spans="1:22">
      <c r="A56" s="168"/>
      <c r="B56" s="12"/>
      <c r="C56" s="12" t="s">
        <v>28</v>
      </c>
      <c r="D56" s="12"/>
      <c r="E56" s="12"/>
      <c r="F56" s="33" t="s">
        <v>55</v>
      </c>
      <c r="G56" s="33" t="s">
        <v>55</v>
      </c>
      <c r="H56" s="33" t="s">
        <v>55</v>
      </c>
      <c r="I56" s="33" t="s">
        <v>55</v>
      </c>
      <c r="J56" s="33" t="s">
        <v>55</v>
      </c>
      <c r="K56" s="33" t="s">
        <v>55</v>
      </c>
      <c r="L56" s="33" t="s">
        <v>55</v>
      </c>
      <c r="M56" s="33" t="s">
        <v>55</v>
      </c>
      <c r="N56" s="33" t="s">
        <v>55</v>
      </c>
      <c r="O56" s="33" t="s">
        <v>55</v>
      </c>
      <c r="P56" s="33" t="s">
        <v>55</v>
      </c>
      <c r="Q56" s="33" t="s">
        <v>55</v>
      </c>
      <c r="R56" s="33" t="s">
        <v>55</v>
      </c>
      <c r="S56" s="33" t="s">
        <v>55</v>
      </c>
      <c r="T56" s="33" t="s">
        <v>55</v>
      </c>
      <c r="U56" s="33" t="s">
        <v>55</v>
      </c>
      <c r="V56" s="33" t="s">
        <v>55</v>
      </c>
    </row>
    <row r="57" spans="1:22">
      <c r="A57" s="168"/>
      <c r="B57" s="12"/>
      <c r="C57" s="12" t="s">
        <v>29</v>
      </c>
      <c r="D57" s="12"/>
      <c r="E57" s="12"/>
      <c r="F57" s="33">
        <v>0</v>
      </c>
      <c r="G57" s="33">
        <v>21.01765650080257</v>
      </c>
      <c r="H57" s="33">
        <v>19.987421383647799</v>
      </c>
      <c r="I57" s="33">
        <v>20.919117647058822</v>
      </c>
      <c r="J57" s="33">
        <v>17.649999999999999</v>
      </c>
      <c r="K57" s="33">
        <v>19.357142857142858</v>
      </c>
      <c r="L57" s="33">
        <v>20.986876640419947</v>
      </c>
      <c r="M57" s="33">
        <v>11</v>
      </c>
      <c r="N57" s="33">
        <v>19.892761394102259</v>
      </c>
      <c r="O57" s="33">
        <v>18.726760563380282</v>
      </c>
      <c r="P57" s="33">
        <v>16.765217391304347</v>
      </c>
      <c r="Q57" s="33">
        <v>19.813953488372093</v>
      </c>
      <c r="R57" s="33">
        <v>20.32236842105263</v>
      </c>
      <c r="S57" s="33">
        <v>19.488</v>
      </c>
      <c r="T57" s="33">
        <v>10.035714285714286</v>
      </c>
      <c r="U57" s="33">
        <v>19.11392405063291</v>
      </c>
      <c r="V57" s="33">
        <v>20.209772320286557</v>
      </c>
    </row>
    <row r="58" spans="1:22">
      <c r="A58" s="168"/>
      <c r="B58" s="12"/>
      <c r="C58" s="12" t="s">
        <v>30</v>
      </c>
      <c r="D58" s="12"/>
      <c r="E58" s="12"/>
      <c r="F58" s="33">
        <v>18.90293453724605</v>
      </c>
      <c r="G58" s="33">
        <v>18.125984251968504</v>
      </c>
      <c r="H58" s="33">
        <v>14.618279569892474</v>
      </c>
      <c r="I58" s="33">
        <v>18.334237983233823</v>
      </c>
      <c r="J58" s="33">
        <v>17.1875</v>
      </c>
      <c r="K58" s="33">
        <v>18.067796610169491</v>
      </c>
      <c r="L58" s="33">
        <v>17.17962962962963</v>
      </c>
      <c r="M58" s="33">
        <v>15.209876543209877</v>
      </c>
      <c r="N58" s="33">
        <v>18.330798479087587</v>
      </c>
      <c r="O58" s="33">
        <v>20.344801223241589</v>
      </c>
      <c r="P58" s="33">
        <v>20.594827586206897</v>
      </c>
      <c r="Q58" s="33">
        <v>19.85148514851485</v>
      </c>
      <c r="R58" s="33">
        <v>18.838196286472147</v>
      </c>
      <c r="S58" s="33">
        <v>18.066298342541437</v>
      </c>
      <c r="T58" s="33">
        <v>18.655601659751039</v>
      </c>
      <c r="U58" s="33">
        <v>17.170212765957448</v>
      </c>
      <c r="V58" s="33">
        <v>18.659652001834125</v>
      </c>
    </row>
    <row r="59" spans="1:22">
      <c r="A59" s="168"/>
      <c r="B59" s="13"/>
      <c r="C59" s="13" t="s">
        <v>31</v>
      </c>
      <c r="D59" s="13"/>
      <c r="E59" s="13"/>
      <c r="F59" s="35" t="s">
        <v>55</v>
      </c>
      <c r="G59" s="35" t="s">
        <v>55</v>
      </c>
      <c r="H59" s="35" t="s">
        <v>55</v>
      </c>
      <c r="I59" s="35" t="s">
        <v>55</v>
      </c>
      <c r="J59" s="35" t="s">
        <v>55</v>
      </c>
      <c r="K59" s="35" t="s">
        <v>55</v>
      </c>
      <c r="L59" s="35" t="s">
        <v>55</v>
      </c>
      <c r="M59" s="35" t="s">
        <v>55</v>
      </c>
      <c r="N59" s="35" t="s">
        <v>55</v>
      </c>
      <c r="O59" s="35" t="s">
        <v>55</v>
      </c>
      <c r="P59" s="35" t="s">
        <v>55</v>
      </c>
      <c r="Q59" s="35" t="s">
        <v>55</v>
      </c>
      <c r="R59" s="35" t="s">
        <v>55</v>
      </c>
      <c r="S59" s="35" t="s">
        <v>55</v>
      </c>
      <c r="T59" s="35" t="s">
        <v>55</v>
      </c>
      <c r="U59" s="35" t="s">
        <v>55</v>
      </c>
      <c r="V59" s="35" t="s">
        <v>55</v>
      </c>
    </row>
    <row r="60" spans="1:22" ht="27" customHeight="1">
      <c r="A60" s="168"/>
      <c r="B60" s="183" t="s">
        <v>130</v>
      </c>
      <c r="C60" s="183"/>
      <c r="D60" s="183"/>
      <c r="E60" s="183"/>
      <c r="F60" s="36" t="s">
        <v>55</v>
      </c>
      <c r="G60" s="36" t="s">
        <v>55</v>
      </c>
      <c r="H60" s="36" t="s">
        <v>55</v>
      </c>
      <c r="I60" s="36" t="s">
        <v>55</v>
      </c>
      <c r="J60" s="36" t="s">
        <v>55</v>
      </c>
      <c r="K60" s="36" t="s">
        <v>55</v>
      </c>
      <c r="L60" s="36" t="s">
        <v>55</v>
      </c>
      <c r="M60" s="36" t="s">
        <v>55</v>
      </c>
      <c r="N60" s="36" t="s">
        <v>55</v>
      </c>
      <c r="O60" s="36" t="s">
        <v>55</v>
      </c>
      <c r="P60" s="36" t="s">
        <v>55</v>
      </c>
      <c r="Q60" s="36" t="s">
        <v>55</v>
      </c>
      <c r="R60" s="36" t="s">
        <v>55</v>
      </c>
      <c r="S60" s="36" t="s">
        <v>55</v>
      </c>
      <c r="T60" s="36" t="s">
        <v>55</v>
      </c>
      <c r="U60" s="36" t="s">
        <v>55</v>
      </c>
      <c r="V60" s="36" t="s">
        <v>55</v>
      </c>
    </row>
    <row r="61" spans="1:22">
      <c r="A61" s="168"/>
      <c r="B61" s="12"/>
      <c r="C61" s="12" t="s">
        <v>21</v>
      </c>
      <c r="D61" s="12"/>
      <c r="E61" s="12"/>
      <c r="F61" s="33">
        <v>20.192008243645525</v>
      </c>
      <c r="G61" s="33">
        <v>21.266976479514415</v>
      </c>
      <c r="H61" s="33">
        <v>19.735403151065803</v>
      </c>
      <c r="I61" s="33">
        <v>16.553807426054121</v>
      </c>
      <c r="J61" s="33">
        <v>18.332191780821919</v>
      </c>
      <c r="K61" s="33">
        <v>20.069695084007467</v>
      </c>
      <c r="L61" s="33">
        <v>17.280544607667501</v>
      </c>
      <c r="M61" s="33">
        <v>19.369488536155202</v>
      </c>
      <c r="N61" s="33">
        <v>17.273955233925172</v>
      </c>
      <c r="O61" s="33">
        <v>18.573069479992508</v>
      </c>
      <c r="P61" s="33">
        <v>17.202943673931504</v>
      </c>
      <c r="Q61" s="33">
        <v>15.95069667738478</v>
      </c>
      <c r="R61" s="33">
        <v>17.988456464379947</v>
      </c>
      <c r="S61" s="33">
        <v>17.611001964636543</v>
      </c>
      <c r="T61" s="33">
        <v>15.853075916230367</v>
      </c>
      <c r="U61" s="33">
        <v>16.764299182903834</v>
      </c>
      <c r="V61" s="33">
        <v>18.655545983346105</v>
      </c>
    </row>
    <row r="62" spans="1:22">
      <c r="A62" s="168"/>
      <c r="B62" s="12"/>
      <c r="C62" s="12"/>
      <c r="D62" s="12" t="s">
        <v>22</v>
      </c>
      <c r="E62" s="12"/>
      <c r="F62" s="33">
        <v>20.192008243645525</v>
      </c>
      <c r="G62" s="33">
        <v>21.266976479514415</v>
      </c>
      <c r="H62" s="33">
        <v>19.968568665377177</v>
      </c>
      <c r="I62" s="33">
        <v>16.553807426054121</v>
      </c>
      <c r="J62" s="33">
        <v>18.475330926594463</v>
      </c>
      <c r="K62" s="33">
        <v>20.448652118100128</v>
      </c>
      <c r="L62" s="33">
        <v>17.280544607667501</v>
      </c>
      <c r="M62" s="33">
        <v>19.680648236415635</v>
      </c>
      <c r="N62" s="33">
        <v>17.288557601195688</v>
      </c>
      <c r="O62" s="33">
        <v>18.573069479992508</v>
      </c>
      <c r="P62" s="33">
        <v>17.202943673931504</v>
      </c>
      <c r="Q62" s="33">
        <v>15.95069667738478</v>
      </c>
      <c r="R62" s="33">
        <v>18.127760788311246</v>
      </c>
      <c r="S62" s="33">
        <v>17.611001964636543</v>
      </c>
      <c r="T62" s="33">
        <v>15.99186440677966</v>
      </c>
      <c r="U62" s="33">
        <v>16.764299182903834</v>
      </c>
      <c r="V62" s="33">
        <v>18.693496221463448</v>
      </c>
    </row>
    <row r="63" spans="1:22">
      <c r="A63" s="168"/>
      <c r="B63" s="12"/>
      <c r="C63" s="12"/>
      <c r="D63" s="12" t="s">
        <v>23</v>
      </c>
      <c r="E63" s="12"/>
      <c r="F63" s="33">
        <v>0</v>
      </c>
      <c r="G63" s="33">
        <v>0</v>
      </c>
      <c r="H63" s="33">
        <v>14.377777777777778</v>
      </c>
      <c r="I63" s="33">
        <v>0</v>
      </c>
      <c r="J63" s="33">
        <v>15.688888888888888</v>
      </c>
      <c r="K63" s="33">
        <v>8.0204081632653068</v>
      </c>
      <c r="L63" s="33">
        <v>0</v>
      </c>
      <c r="M63" s="33">
        <v>15.529411764705882</v>
      </c>
      <c r="N63" s="33">
        <v>12.679999999999975</v>
      </c>
      <c r="O63" s="33">
        <v>0</v>
      </c>
      <c r="P63" s="33">
        <v>0</v>
      </c>
      <c r="Q63" s="33">
        <v>0</v>
      </c>
      <c r="R63" s="33">
        <v>13.382022471910112</v>
      </c>
      <c r="S63" s="33">
        <v>0</v>
      </c>
      <c r="T63" s="33">
        <v>11.990566037735849</v>
      </c>
      <c r="U63" s="33">
        <v>0</v>
      </c>
      <c r="V63" s="33">
        <v>13.2760736196319</v>
      </c>
    </row>
    <row r="64" spans="1:22">
      <c r="A64" s="168"/>
      <c r="B64" s="12"/>
      <c r="C64" s="12" t="s">
        <v>25</v>
      </c>
      <c r="D64" s="12"/>
      <c r="E64" s="12"/>
      <c r="F64" s="33">
        <v>0</v>
      </c>
      <c r="G64" s="33">
        <v>0</v>
      </c>
      <c r="H64" s="33">
        <v>0</v>
      </c>
      <c r="I64" s="33">
        <v>0</v>
      </c>
      <c r="J64" s="33">
        <v>0</v>
      </c>
      <c r="K64" s="33">
        <v>0</v>
      </c>
      <c r="L64" s="33">
        <v>0</v>
      </c>
      <c r="M64" s="33">
        <v>0</v>
      </c>
      <c r="N64" s="33">
        <v>0</v>
      </c>
      <c r="O64" s="33">
        <v>0</v>
      </c>
      <c r="P64" s="33">
        <v>0</v>
      </c>
      <c r="Q64" s="33">
        <v>0</v>
      </c>
      <c r="R64" s="33">
        <v>0</v>
      </c>
      <c r="S64" s="33">
        <v>0</v>
      </c>
      <c r="T64" s="33">
        <v>0</v>
      </c>
      <c r="U64" s="33">
        <v>0</v>
      </c>
      <c r="V64" s="33">
        <v>0</v>
      </c>
    </row>
    <row r="65" spans="1:28">
      <c r="A65" s="168"/>
      <c r="B65" s="12"/>
      <c r="C65" s="12" t="s">
        <v>26</v>
      </c>
      <c r="D65" s="12"/>
      <c r="E65" s="12"/>
      <c r="F65" s="33">
        <v>19.869449966865474</v>
      </c>
      <c r="G65" s="33">
        <v>15.878787878787879</v>
      </c>
      <c r="H65" s="33">
        <v>0</v>
      </c>
      <c r="I65" s="33">
        <v>0</v>
      </c>
      <c r="J65" s="33">
        <v>11.333333333333334</v>
      </c>
      <c r="K65" s="33">
        <v>23</v>
      </c>
      <c r="L65" s="33">
        <v>0</v>
      </c>
      <c r="M65" s="33">
        <v>12</v>
      </c>
      <c r="N65" s="33">
        <v>19.475609756097612</v>
      </c>
      <c r="O65" s="33">
        <v>0</v>
      </c>
      <c r="P65" s="33">
        <v>0</v>
      </c>
      <c r="Q65" s="33">
        <v>0</v>
      </c>
      <c r="R65" s="33">
        <v>9.85</v>
      </c>
      <c r="S65" s="33">
        <v>17.399999999999999</v>
      </c>
      <c r="T65" s="33">
        <v>0</v>
      </c>
      <c r="U65" s="33">
        <v>17.625</v>
      </c>
      <c r="V65" s="33">
        <v>19.344887348353556</v>
      </c>
    </row>
    <row r="66" spans="1:28">
      <c r="A66" s="168"/>
      <c r="B66" s="12"/>
      <c r="C66" s="12" t="s">
        <v>27</v>
      </c>
      <c r="D66" s="12"/>
      <c r="E66" s="12"/>
      <c r="F66" s="33">
        <v>0</v>
      </c>
      <c r="G66" s="33">
        <v>9</v>
      </c>
      <c r="H66" s="33">
        <v>4</v>
      </c>
      <c r="I66" s="33">
        <v>0</v>
      </c>
      <c r="J66" s="33">
        <v>0</v>
      </c>
      <c r="K66" s="33">
        <v>0</v>
      </c>
      <c r="L66" s="33">
        <v>0</v>
      </c>
      <c r="M66" s="33">
        <v>0</v>
      </c>
      <c r="N66" s="33">
        <v>0</v>
      </c>
      <c r="O66" s="33">
        <v>0</v>
      </c>
      <c r="P66" s="33">
        <v>9.1714285714285708</v>
      </c>
      <c r="Q66" s="33">
        <v>0</v>
      </c>
      <c r="R66" s="33">
        <v>0</v>
      </c>
      <c r="S66" s="33">
        <v>0</v>
      </c>
      <c r="T66" s="33">
        <v>0</v>
      </c>
      <c r="U66" s="33">
        <v>0</v>
      </c>
      <c r="V66" s="33">
        <v>8.7692307692307701</v>
      </c>
    </row>
    <row r="67" spans="1:28">
      <c r="A67" s="168"/>
      <c r="B67" s="12"/>
      <c r="C67" s="12" t="s">
        <v>29</v>
      </c>
      <c r="D67" s="12"/>
      <c r="E67" s="12"/>
      <c r="F67" s="33">
        <v>0</v>
      </c>
      <c r="G67" s="33">
        <v>23.651515151515152</v>
      </c>
      <c r="H67" s="33">
        <v>6.25</v>
      </c>
      <c r="I67" s="33">
        <v>0</v>
      </c>
      <c r="J67" s="33">
        <v>19.600000000000001</v>
      </c>
      <c r="K67" s="33">
        <v>0</v>
      </c>
      <c r="L67" s="33">
        <v>25.333333333333332</v>
      </c>
      <c r="M67" s="33">
        <v>0</v>
      </c>
      <c r="N67" s="33">
        <v>21.253644314869039</v>
      </c>
      <c r="O67" s="33">
        <v>22.553623188405798</v>
      </c>
      <c r="P67" s="33">
        <v>0</v>
      </c>
      <c r="Q67" s="33">
        <v>13.5</v>
      </c>
      <c r="R67" s="33">
        <v>0</v>
      </c>
      <c r="S67" s="33">
        <v>0</v>
      </c>
      <c r="T67" s="33">
        <v>3.5</v>
      </c>
      <c r="U67" s="33">
        <v>0</v>
      </c>
      <c r="V67" s="33">
        <v>22.754620777565382</v>
      </c>
    </row>
    <row r="68" spans="1:28">
      <c r="A68" s="168"/>
      <c r="B68" s="12"/>
      <c r="C68" s="12" t="s">
        <v>30</v>
      </c>
      <c r="D68" s="12"/>
      <c r="E68" s="12"/>
      <c r="F68" s="33">
        <v>18.558139534883722</v>
      </c>
      <c r="G68" s="33">
        <v>17.767441860465116</v>
      </c>
      <c r="H68" s="33">
        <v>17.702770780856422</v>
      </c>
      <c r="I68" s="33">
        <v>16.352579022449135</v>
      </c>
      <c r="J68" s="33">
        <v>14.8125</v>
      </c>
      <c r="K68" s="33">
        <v>19.984615384615385</v>
      </c>
      <c r="L68" s="33">
        <v>14.801020408163266</v>
      </c>
      <c r="M68" s="33">
        <v>12.052631578947368</v>
      </c>
      <c r="N68" s="33">
        <v>15.17256637168167</v>
      </c>
      <c r="O68" s="33">
        <v>17.145218417945692</v>
      </c>
      <c r="P68" s="33">
        <v>18.880239520958085</v>
      </c>
      <c r="Q68" s="33">
        <v>15.684210526315789</v>
      </c>
      <c r="R68" s="33">
        <v>14.339449541284404</v>
      </c>
      <c r="S68" s="33">
        <v>12.423913043478262</v>
      </c>
      <c r="T68" s="33">
        <v>12.983333333333333</v>
      </c>
      <c r="U68" s="33">
        <v>11.903846153846153</v>
      </c>
      <c r="V68" s="33">
        <v>16.881868530638467</v>
      </c>
    </row>
    <row r="69" spans="1:28">
      <c r="A69" s="168"/>
      <c r="B69" s="13"/>
      <c r="C69" s="13" t="s">
        <v>31</v>
      </c>
      <c r="D69" s="13"/>
      <c r="E69" s="13"/>
      <c r="F69" s="35" t="s">
        <v>55</v>
      </c>
      <c r="G69" s="35" t="s">
        <v>55</v>
      </c>
      <c r="H69" s="35" t="s">
        <v>55</v>
      </c>
      <c r="I69" s="35" t="s">
        <v>55</v>
      </c>
      <c r="J69" s="35" t="s">
        <v>55</v>
      </c>
      <c r="K69" s="35" t="s">
        <v>55</v>
      </c>
      <c r="L69" s="35" t="s">
        <v>55</v>
      </c>
      <c r="M69" s="35" t="s">
        <v>55</v>
      </c>
      <c r="N69" s="35" t="s">
        <v>55</v>
      </c>
      <c r="O69" s="35" t="s">
        <v>55</v>
      </c>
      <c r="P69" s="35" t="s">
        <v>55</v>
      </c>
      <c r="Q69" s="35" t="s">
        <v>55</v>
      </c>
      <c r="R69" s="35" t="s">
        <v>55</v>
      </c>
      <c r="S69" s="35" t="s">
        <v>55</v>
      </c>
      <c r="T69" s="35" t="s">
        <v>55</v>
      </c>
      <c r="U69" s="35" t="s">
        <v>55</v>
      </c>
      <c r="V69" s="35" t="s">
        <v>55</v>
      </c>
    </row>
    <row r="70" spans="1:28">
      <c r="A70" s="168"/>
      <c r="B70" s="171" t="s">
        <v>33</v>
      </c>
      <c r="C70" s="171"/>
      <c r="D70" s="171"/>
      <c r="E70" s="180" t="s">
        <v>32</v>
      </c>
      <c r="F70" s="180"/>
      <c r="G70" s="180"/>
      <c r="H70" s="180"/>
      <c r="I70" s="180"/>
      <c r="J70" s="180"/>
      <c r="K70" s="180"/>
      <c r="L70" s="180"/>
      <c r="M70" s="180"/>
      <c r="N70" s="180"/>
      <c r="O70" s="180"/>
      <c r="P70" s="180"/>
      <c r="Q70" s="17"/>
      <c r="R70" s="17"/>
      <c r="S70" s="17"/>
      <c r="T70" s="17"/>
      <c r="U70" s="17"/>
      <c r="V70" s="25"/>
    </row>
    <row r="71" spans="1:28">
      <c r="A71" s="168"/>
      <c r="B71" s="140"/>
      <c r="C71" s="140"/>
      <c r="D71" s="140"/>
      <c r="E71" s="167" t="s">
        <v>200</v>
      </c>
      <c r="F71" s="167"/>
      <c r="G71" s="167"/>
      <c r="H71" s="167"/>
      <c r="I71" s="167"/>
      <c r="J71" s="167"/>
      <c r="K71" s="167"/>
      <c r="L71" s="167"/>
      <c r="M71" s="167"/>
      <c r="N71" s="167"/>
      <c r="O71" s="167"/>
      <c r="P71" s="167"/>
      <c r="Q71" s="167"/>
      <c r="R71" s="167"/>
      <c r="S71" s="167"/>
      <c r="T71" s="167"/>
      <c r="U71" s="167"/>
      <c r="V71" s="167"/>
      <c r="W71" s="157"/>
      <c r="X71" s="157"/>
      <c r="Y71" s="157"/>
      <c r="Z71" s="157"/>
      <c r="AA71" s="157"/>
      <c r="AB71" s="157"/>
    </row>
    <row r="72" spans="1:28">
      <c r="A72" s="168"/>
      <c r="E72" s="180"/>
      <c r="F72" s="180"/>
      <c r="G72" s="180"/>
      <c r="H72" s="180"/>
      <c r="I72" s="180"/>
      <c r="J72" s="180"/>
      <c r="K72" s="180"/>
      <c r="L72" s="180"/>
      <c r="M72" s="180"/>
      <c r="N72" s="180"/>
      <c r="O72" s="180"/>
      <c r="P72" s="180"/>
    </row>
  </sheetData>
  <mergeCells count="11">
    <mergeCell ref="A1:A36"/>
    <mergeCell ref="A37:A72"/>
    <mergeCell ref="E72:P72"/>
    <mergeCell ref="B1:E1"/>
    <mergeCell ref="B5:E5"/>
    <mergeCell ref="B30:E30"/>
    <mergeCell ref="B49:E49"/>
    <mergeCell ref="B60:E60"/>
    <mergeCell ref="B70:D70"/>
    <mergeCell ref="E70:P70"/>
    <mergeCell ref="E71:V71"/>
  </mergeCells>
  <hyperlinks>
    <hyperlink ref="E71:V71" location="Leer!Druckbereich" display="Ab 2024 gelten für die Schularten des Sek-I-Bereichs neue Bezeichnungen bzw. Zusätze. Zudem kommt es bei den Hauptschulen, Schularten mit zwei Bildungsgängen und Schularten mit drei Bildungsgängen zu Neuzuordnungen." xr:uid="{B4B88E20-3529-40F3-B559-A808977A39E2}"/>
  </hyperlinks>
  <printOptions verticalCentered="1"/>
  <pageMargins left="0.23622047244094491" right="0.23622047244094491" top="0.74803149606299213" bottom="0.74803149606299213" header="0.31496062992125984" footer="0.31496062992125984"/>
  <pageSetup paperSize="9" orientation="landscape" r:id="rId1"/>
  <rowBreaks count="1" manualBreakCount="1">
    <brk id="36"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7"/>
  <dimension ref="A1:AB73"/>
  <sheetViews>
    <sheetView view="pageBreakPreview" topLeftCell="A58" zoomScale="140" zoomScaleNormal="100" zoomScaleSheetLayoutView="140" workbookViewId="0">
      <selection activeCell="J27" sqref="J27"/>
    </sheetView>
  </sheetViews>
  <sheetFormatPr baseColWidth="10" defaultRowHeight="12.75"/>
  <cols>
    <col min="1" max="1" width="2.7109375" customWidth="1"/>
    <col min="2" max="2" width="3.7109375" customWidth="1"/>
    <col min="3" max="4" width="2.7109375" customWidth="1"/>
    <col min="5" max="5" width="27.28515625" customWidth="1"/>
    <col min="6" max="18" width="9.7109375" hidden="1" customWidth="1"/>
    <col min="19" max="28" width="9.7109375" customWidth="1"/>
  </cols>
  <sheetData>
    <row r="1" spans="1:28" ht="13.5" customHeight="1">
      <c r="A1" s="168">
        <v>73</v>
      </c>
      <c r="B1" s="169" t="s">
        <v>0</v>
      </c>
      <c r="C1" s="169"/>
      <c r="D1" s="169"/>
      <c r="E1" s="169"/>
    </row>
    <row r="2" spans="1:28" ht="13.5">
      <c r="A2" s="168"/>
      <c r="B2" s="4" t="s">
        <v>66</v>
      </c>
      <c r="C2" s="4"/>
      <c r="D2" s="4" t="s">
        <v>155</v>
      </c>
      <c r="E2" s="4"/>
    </row>
    <row r="3" spans="1:28" ht="13.5">
      <c r="A3" s="168"/>
      <c r="B3" s="5" t="s">
        <v>68</v>
      </c>
      <c r="C3" s="4"/>
      <c r="D3" s="4" t="s">
        <v>185</v>
      </c>
      <c r="E3" s="4"/>
    </row>
    <row r="4" spans="1:28" ht="25.5" customHeight="1">
      <c r="A4" s="168"/>
    </row>
    <row r="5" spans="1:28" s="6" customFormat="1" ht="18.75" customHeight="1">
      <c r="A5" s="168"/>
      <c r="B5" s="170" t="s">
        <v>126</v>
      </c>
      <c r="C5" s="170"/>
      <c r="D5" s="170"/>
      <c r="E5" s="170"/>
      <c r="F5" s="8">
        <v>2002</v>
      </c>
      <c r="G5" s="8">
        <v>2003</v>
      </c>
      <c r="H5" s="8">
        <v>2004</v>
      </c>
      <c r="I5" s="8">
        <v>2005</v>
      </c>
      <c r="J5" s="8">
        <v>2006</v>
      </c>
      <c r="K5" s="8">
        <v>2007</v>
      </c>
      <c r="L5" s="8">
        <v>2008</v>
      </c>
      <c r="M5" s="8">
        <v>2009</v>
      </c>
      <c r="N5" s="8">
        <v>2010</v>
      </c>
      <c r="O5" s="8">
        <v>2011</v>
      </c>
      <c r="P5" s="8">
        <v>2012</v>
      </c>
      <c r="Q5" s="8">
        <v>2013</v>
      </c>
      <c r="R5" s="8">
        <v>2014</v>
      </c>
      <c r="S5" s="8">
        <v>2015</v>
      </c>
      <c r="T5" s="8">
        <v>2016</v>
      </c>
      <c r="U5" s="8">
        <v>2017</v>
      </c>
      <c r="V5" s="8">
        <v>2018</v>
      </c>
      <c r="W5" s="8">
        <v>2019</v>
      </c>
      <c r="X5" s="8">
        <v>2020</v>
      </c>
      <c r="Y5" s="8">
        <v>2021</v>
      </c>
      <c r="Z5" s="8">
        <v>2022</v>
      </c>
      <c r="AA5" s="8">
        <v>2023</v>
      </c>
      <c r="AB5" s="8">
        <v>2024</v>
      </c>
    </row>
    <row r="6" spans="1:28" ht="13.5">
      <c r="A6" s="168"/>
      <c r="B6" s="9" t="s">
        <v>120</v>
      </c>
      <c r="C6" s="9"/>
      <c r="D6" s="9"/>
      <c r="E6" s="16"/>
      <c r="F6" s="76">
        <v>17.217558487755301</v>
      </c>
      <c r="G6" s="76">
        <v>17.209834121784141</v>
      </c>
      <c r="H6" s="76">
        <v>17.240017567760059</v>
      </c>
      <c r="I6" s="76">
        <v>17.177859123477894</v>
      </c>
      <c r="J6" s="76">
        <v>16.943940026119908</v>
      </c>
      <c r="K6" s="76">
        <v>16.741454806322608</v>
      </c>
      <c r="L6" s="76">
        <v>16.579948453647805</v>
      </c>
      <c r="M6" s="76">
        <v>16.094441307277734</v>
      </c>
      <c r="N6" s="76">
        <v>15.689560855244014</v>
      </c>
      <c r="O6" s="76">
        <v>15.364049036705364</v>
      </c>
      <c r="P6" s="76">
        <v>15.04727283371143</v>
      </c>
      <c r="Q6" s="76">
        <v>14.829672583327719</v>
      </c>
      <c r="R6" s="76">
        <v>14.733868875384054</v>
      </c>
      <c r="S6" s="76">
        <v>14.673458599990612</v>
      </c>
      <c r="T6" s="76">
        <v>14.612723782905356</v>
      </c>
      <c r="U6" s="76">
        <v>14.515488674975721</v>
      </c>
      <c r="V6" s="76">
        <v>14.373925489107256</v>
      </c>
      <c r="W6" s="76">
        <v>14.219791033775236</v>
      </c>
      <c r="X6" s="76">
        <v>14.106762307360492</v>
      </c>
      <c r="Y6" s="76">
        <v>14.103394213676681</v>
      </c>
      <c r="Z6" s="76">
        <v>14.241222293050393</v>
      </c>
      <c r="AA6" s="76">
        <v>14.187585132556958</v>
      </c>
      <c r="AB6" s="76">
        <v>14.123401226647793</v>
      </c>
    </row>
    <row r="7" spans="1:28" ht="13.5">
      <c r="A7" s="168"/>
      <c r="B7" s="10" t="s">
        <v>119</v>
      </c>
      <c r="C7" s="10"/>
      <c r="D7" s="10"/>
      <c r="E7" s="9"/>
      <c r="F7" s="77">
        <v>15.978677328546901</v>
      </c>
      <c r="G7" s="77">
        <v>15.972225828849052</v>
      </c>
      <c r="H7" s="77">
        <v>15.982480445202558</v>
      </c>
      <c r="I7" s="77">
        <v>15.913999949034075</v>
      </c>
      <c r="J7" s="77">
        <v>15.655661522482657</v>
      </c>
      <c r="K7" s="77">
        <v>15.397299062229287</v>
      </c>
      <c r="L7" s="77">
        <v>15.132547390348346</v>
      </c>
      <c r="M7" s="77">
        <v>14.661902489666751</v>
      </c>
      <c r="N7" s="77">
        <v>14.324245011891142</v>
      </c>
      <c r="O7" s="77">
        <v>14.057734662500986</v>
      </c>
      <c r="P7" s="77">
        <v>13.770079484108271</v>
      </c>
      <c r="Q7" s="77">
        <v>13.555405200820131</v>
      </c>
      <c r="R7" s="77">
        <v>13.478935688981149</v>
      </c>
      <c r="S7" s="77">
        <v>13.427194261014355</v>
      </c>
      <c r="T7" s="77">
        <v>13.381009582625058</v>
      </c>
      <c r="U7" s="77">
        <v>13.305519621978544</v>
      </c>
      <c r="V7" s="77">
        <v>13.192432740552672</v>
      </c>
      <c r="W7" s="77">
        <v>13.054505690634951</v>
      </c>
      <c r="X7" s="77">
        <v>13.019085023926335</v>
      </c>
      <c r="Y7" s="77">
        <v>13.046076802151436</v>
      </c>
      <c r="Z7" s="77">
        <v>13.28717344498774</v>
      </c>
      <c r="AA7" s="77">
        <v>13.254613494032812</v>
      </c>
      <c r="AB7" s="77">
        <v>13.181301522012252</v>
      </c>
    </row>
    <row r="8" spans="1:28" ht="13.5">
      <c r="A8" s="168"/>
      <c r="B8" s="11" t="s">
        <v>3</v>
      </c>
      <c r="C8" s="11"/>
      <c r="D8" s="11"/>
      <c r="E8" s="11"/>
      <c r="F8" s="76">
        <v>6.7519889311656867</v>
      </c>
      <c r="G8" s="76">
        <v>6.703242422701515</v>
      </c>
      <c r="H8" s="76">
        <v>6.6107413959321972</v>
      </c>
      <c r="I8" s="76">
        <v>6.4617289247351684</v>
      </c>
      <c r="J8" s="76">
        <v>6.3507689395965237</v>
      </c>
      <c r="K8" s="76">
        <v>6.2029570129352818</v>
      </c>
      <c r="L8" s="76">
        <v>6.0523751598890989</v>
      </c>
      <c r="M8" s="76">
        <v>5.8475504018577436</v>
      </c>
      <c r="N8" s="76">
        <v>5.7185528167415676</v>
      </c>
      <c r="O8" s="76">
        <v>5.6023077919258109</v>
      </c>
      <c r="P8" s="76">
        <v>5.5001471294274342</v>
      </c>
      <c r="Q8" s="76">
        <v>5.3803710784467356</v>
      </c>
      <c r="R8" s="76">
        <v>5.3383907124998826</v>
      </c>
      <c r="S8" s="76">
        <v>5.277540044441003</v>
      </c>
      <c r="T8" s="76">
        <v>5.2482777173925097</v>
      </c>
      <c r="U8" s="76">
        <v>5.2474735998601263</v>
      </c>
      <c r="V8" s="76">
        <v>5.3250651668323936</v>
      </c>
      <c r="W8" s="76">
        <v>5.3989770839703182</v>
      </c>
      <c r="X8" s="76">
        <v>5.3060309767557108</v>
      </c>
      <c r="Y8" s="76">
        <v>5.3333895960253814</v>
      </c>
      <c r="Z8" s="76">
        <v>5.2965897643676909</v>
      </c>
      <c r="AA8" s="76">
        <v>5.2962051872364819</v>
      </c>
      <c r="AB8" s="76">
        <v>5.2774616983649025</v>
      </c>
    </row>
    <row r="9" spans="1:28" ht="13.5">
      <c r="A9" s="168"/>
      <c r="B9" s="12"/>
      <c r="C9" s="12" t="s">
        <v>4</v>
      </c>
      <c r="D9" s="12"/>
      <c r="E9" s="12"/>
      <c r="F9" s="55">
        <v>8.9623109732454438</v>
      </c>
      <c r="G9" s="55">
        <v>8.926477356477907</v>
      </c>
      <c r="H9" s="55">
        <v>8.447188962017286</v>
      </c>
      <c r="I9" s="55">
        <v>8.3788283220710031</v>
      </c>
      <c r="J9" s="55">
        <v>8.2614619136535499</v>
      </c>
      <c r="K9" s="55">
        <v>7.9589047925120857</v>
      </c>
      <c r="L9" s="55">
        <v>7.7046922648037306</v>
      </c>
      <c r="M9" s="55">
        <v>7.3638417488262062</v>
      </c>
      <c r="N9" s="55">
        <v>7.1906264501160093</v>
      </c>
      <c r="O9" s="55">
        <v>7.0411484593918932</v>
      </c>
      <c r="P9" s="55">
        <v>7.0106946372564138</v>
      </c>
      <c r="Q9" s="55">
        <v>6.765751211631664</v>
      </c>
      <c r="R9" s="55">
        <v>6.5852932183488662</v>
      </c>
      <c r="S9" s="55">
        <v>6.3615503099258035</v>
      </c>
      <c r="T9" s="55">
        <v>6.2226782077146803</v>
      </c>
      <c r="U9" s="55">
        <v>6.1058521943016819</v>
      </c>
      <c r="V9" s="55">
        <v>6.3582141236596375</v>
      </c>
      <c r="W9" s="55">
        <v>6.6726922969346125</v>
      </c>
      <c r="X9" s="55">
        <v>6.5838605920188966</v>
      </c>
      <c r="Y9" s="55">
        <v>6.6311817818737415</v>
      </c>
      <c r="Z9" s="55">
        <v>6.6399315238849379</v>
      </c>
      <c r="AA9" s="55">
        <v>6.6843354296636939</v>
      </c>
      <c r="AB9" s="55">
        <v>6.76080662431026</v>
      </c>
    </row>
    <row r="10" spans="1:28" ht="13.5">
      <c r="A10" s="168"/>
      <c r="B10" s="13"/>
      <c r="C10" s="13" t="s">
        <v>5</v>
      </c>
      <c r="D10" s="13"/>
      <c r="E10" s="13"/>
      <c r="F10" s="55">
        <v>5.609198653579611</v>
      </c>
      <c r="G10" s="55">
        <v>5.5548065226917629</v>
      </c>
      <c r="H10" s="55">
        <v>5.7603525385178944</v>
      </c>
      <c r="I10" s="55">
        <v>5.6239084299607338</v>
      </c>
      <c r="J10" s="55">
        <v>5.569522332841359</v>
      </c>
      <c r="K10" s="55">
        <v>5.5182888072038105</v>
      </c>
      <c r="L10" s="55">
        <v>5.4417214706570256</v>
      </c>
      <c r="M10" s="55">
        <v>5.3008229857822151</v>
      </c>
      <c r="N10" s="55">
        <v>5.2171186559655567</v>
      </c>
      <c r="O10" s="55">
        <v>5.1152381890734446</v>
      </c>
      <c r="P10" s="55">
        <v>5.012440147540608</v>
      </c>
      <c r="Q10" s="55">
        <v>4.9660796569186552</v>
      </c>
      <c r="R10" s="55">
        <v>5.0040135238053916</v>
      </c>
      <c r="S10" s="55">
        <v>5.0226746468018124</v>
      </c>
      <c r="T10" s="55">
        <v>5.0450280469707538</v>
      </c>
      <c r="U10" s="55">
        <v>5.1161472517759146</v>
      </c>
      <c r="V10" s="55">
        <v>5.1537754775320002</v>
      </c>
      <c r="W10" s="55">
        <v>5.1736216925642236</v>
      </c>
      <c r="X10" s="55">
        <v>4.9566645692475921</v>
      </c>
      <c r="Y10" s="55">
        <v>4.9725556360737215</v>
      </c>
      <c r="Z10" s="55">
        <v>4.9297601743640946</v>
      </c>
      <c r="AA10" s="55">
        <v>4.9187270052444347</v>
      </c>
      <c r="AB10" s="55">
        <v>4.8773182815361604</v>
      </c>
    </row>
    <row r="11" spans="1:28" ht="13.5" hidden="1">
      <c r="A11" s="168"/>
      <c r="B11" s="13"/>
      <c r="C11" s="13"/>
      <c r="D11" s="13"/>
      <c r="E11" s="13"/>
      <c r="F11" s="55"/>
      <c r="G11" s="55"/>
      <c r="H11" s="55"/>
      <c r="I11" s="55"/>
      <c r="J11" s="142"/>
      <c r="K11" s="142"/>
      <c r="L11" s="142"/>
      <c r="M11" s="142"/>
      <c r="N11" s="142"/>
      <c r="O11" s="142"/>
      <c r="P11" s="142"/>
      <c r="Q11" s="142"/>
      <c r="R11" s="142"/>
      <c r="S11" s="142"/>
      <c r="T11" s="55"/>
      <c r="U11" s="55"/>
      <c r="V11" s="55"/>
      <c r="W11" s="55"/>
      <c r="X11" s="55"/>
      <c r="Y11" s="55"/>
      <c r="Z11" s="55"/>
      <c r="AA11" s="55"/>
      <c r="AB11" s="55"/>
    </row>
    <row r="12" spans="1:28" ht="13.5">
      <c r="A12" s="168"/>
      <c r="B12" s="11" t="s">
        <v>6</v>
      </c>
      <c r="C12" s="11"/>
      <c r="D12" s="11"/>
      <c r="E12" s="11"/>
      <c r="F12" s="57">
        <v>11.634529624124017</v>
      </c>
      <c r="G12" s="57">
        <v>11.624540898482024</v>
      </c>
      <c r="H12" s="57">
        <v>11.419124643196955</v>
      </c>
      <c r="I12" s="57">
        <v>10.2384492778696</v>
      </c>
      <c r="J12" s="57">
        <v>10.082131241497891</v>
      </c>
      <c r="K12" s="57">
        <v>9.8218088317003449</v>
      </c>
      <c r="L12" s="57">
        <v>9.4299132494448177</v>
      </c>
      <c r="M12" s="57">
        <v>9.435445611657066</v>
      </c>
      <c r="N12" s="57">
        <v>9.7351290912100428</v>
      </c>
      <c r="O12" s="57">
        <v>9.6854202401372209</v>
      </c>
      <c r="P12" s="57">
        <v>9.7570878543927204</v>
      </c>
      <c r="Q12" s="57">
        <v>9.7969579059073215</v>
      </c>
      <c r="R12" s="57">
        <v>9.8893412287194664</v>
      </c>
      <c r="S12" s="57">
        <v>9.8082678815791269</v>
      </c>
      <c r="T12" s="57">
        <v>10.000157753527526</v>
      </c>
      <c r="U12" s="57">
        <v>9.9536025213318595</v>
      </c>
      <c r="V12" s="57">
        <v>9.9882018235712167</v>
      </c>
      <c r="W12" s="57">
        <v>9.4135899238448264</v>
      </c>
      <c r="X12" s="57">
        <v>9.1564669233976801</v>
      </c>
      <c r="Y12" s="57">
        <v>9.3044095288317443</v>
      </c>
      <c r="Z12" s="57">
        <v>9.7072958157703422</v>
      </c>
      <c r="AA12" s="57">
        <v>9.8899325725428788</v>
      </c>
      <c r="AB12" s="57">
        <v>9.7937685053185657</v>
      </c>
    </row>
    <row r="13" spans="1:28" ht="13.5">
      <c r="A13" s="168"/>
      <c r="B13" s="12"/>
      <c r="C13" s="12" t="s">
        <v>7</v>
      </c>
      <c r="D13" s="12"/>
      <c r="E13" s="12"/>
      <c r="F13" s="55">
        <v>15.558252427184467</v>
      </c>
      <c r="G13" s="55">
        <v>16.257550335570471</v>
      </c>
      <c r="H13" s="55">
        <v>16.439929328621908</v>
      </c>
      <c r="I13" s="55">
        <v>17.978026508358585</v>
      </c>
      <c r="J13" s="55">
        <v>17.400852878464818</v>
      </c>
      <c r="K13" s="55">
        <v>16.067856898556673</v>
      </c>
      <c r="L13" s="55">
        <v>14.558435408511176</v>
      </c>
      <c r="M13" s="55">
        <v>15.003205128205128</v>
      </c>
      <c r="N13" s="55">
        <v>15.338607594936709</v>
      </c>
      <c r="O13" s="55">
        <v>14.986238532110091</v>
      </c>
      <c r="P13" s="55">
        <v>14.690058479532164</v>
      </c>
      <c r="Q13" s="55">
        <v>15.773809523809524</v>
      </c>
      <c r="R13" s="55">
        <v>16.534290271132377</v>
      </c>
      <c r="S13" s="55">
        <v>16.643139237113854</v>
      </c>
      <c r="T13" s="55">
        <v>17.402471719087167</v>
      </c>
      <c r="U13" s="55">
        <v>16.313208616043472</v>
      </c>
      <c r="V13" s="55">
        <v>17.286886725344264</v>
      </c>
      <c r="W13" s="55">
        <v>14.152222641743894</v>
      </c>
      <c r="X13" s="55">
        <v>14.578635014836795</v>
      </c>
      <c r="Y13" s="55">
        <v>15.716216216216216</v>
      </c>
      <c r="Z13" s="55">
        <v>16.944272445820435</v>
      </c>
      <c r="AA13" s="55">
        <v>16.478510028653297</v>
      </c>
      <c r="AB13" s="55">
        <v>15.710674157303371</v>
      </c>
    </row>
    <row r="14" spans="1:28" ht="13.5">
      <c r="A14" s="168"/>
      <c r="B14" s="13"/>
      <c r="C14" s="13" t="s">
        <v>8</v>
      </c>
      <c r="D14" s="13"/>
      <c r="E14" s="13"/>
      <c r="F14" s="55">
        <v>10.238122660524043</v>
      </c>
      <c r="G14" s="55">
        <v>10.024156969297234</v>
      </c>
      <c r="H14" s="55">
        <v>9.5690104166666661</v>
      </c>
      <c r="I14" s="55">
        <v>8.8140151371163444</v>
      </c>
      <c r="J14" s="55">
        <v>8.6595951744230391</v>
      </c>
      <c r="K14" s="55">
        <v>8.3320900819513444</v>
      </c>
      <c r="L14" s="55">
        <v>8.1419880967561866</v>
      </c>
      <c r="M14" s="55">
        <v>7.9424151267726684</v>
      </c>
      <c r="N14" s="55">
        <v>8.2141123819422681</v>
      </c>
      <c r="O14" s="55">
        <v>8.1521450685537378</v>
      </c>
      <c r="P14" s="55">
        <v>8.2043258168430739</v>
      </c>
      <c r="Q14" s="55">
        <v>7.9331786542923437</v>
      </c>
      <c r="R14" s="55">
        <v>7.8814457831325297</v>
      </c>
      <c r="S14" s="55">
        <v>7.7168646080760093</v>
      </c>
      <c r="T14" s="55">
        <v>7.777287148968683</v>
      </c>
      <c r="U14" s="55">
        <v>7.9167773598624152</v>
      </c>
      <c r="V14" s="55">
        <v>8.116722248689852</v>
      </c>
      <c r="W14" s="55">
        <v>7.9139599565645282</v>
      </c>
      <c r="X14" s="55">
        <v>7.4799410963240254</v>
      </c>
      <c r="Y14" s="55">
        <v>7.3574420391138862</v>
      </c>
      <c r="Z14" s="55">
        <v>7.5721621539294759</v>
      </c>
      <c r="AA14" s="55">
        <v>7.8134876916686222</v>
      </c>
      <c r="AB14" s="55">
        <v>7.8841202494923124</v>
      </c>
    </row>
    <row r="15" spans="1:28" ht="13.5">
      <c r="A15" s="168"/>
      <c r="B15" s="11" t="s">
        <v>123</v>
      </c>
      <c r="C15" s="11"/>
      <c r="D15" s="11"/>
      <c r="E15" s="11"/>
      <c r="F15" s="57">
        <v>19.858993469840893</v>
      </c>
      <c r="G15" s="57">
        <v>20.048065111789018</v>
      </c>
      <c r="H15" s="57">
        <v>20.012240266913874</v>
      </c>
      <c r="I15" s="57">
        <v>19.845012205542783</v>
      </c>
      <c r="J15" s="57">
        <v>19.391300430936059</v>
      </c>
      <c r="K15" s="57">
        <v>19.027684798099525</v>
      </c>
      <c r="L15" s="57">
        <v>18.488247297498674</v>
      </c>
      <c r="M15" s="57">
        <v>17.788807489788294</v>
      </c>
      <c r="N15" s="57">
        <v>17.366260434963692</v>
      </c>
      <c r="O15" s="57">
        <v>16.997565245598629</v>
      </c>
      <c r="P15" s="57">
        <v>16.64463156124884</v>
      </c>
      <c r="Q15" s="57">
        <v>16.431520734049364</v>
      </c>
      <c r="R15" s="57">
        <v>16.342468808184559</v>
      </c>
      <c r="S15" s="57">
        <v>16.24793810117762</v>
      </c>
      <c r="T15" s="57">
        <v>16.26587736293996</v>
      </c>
      <c r="U15" s="57">
        <v>16.131526675634795</v>
      </c>
      <c r="V15" s="57">
        <v>15.882372642484428</v>
      </c>
      <c r="W15" s="57">
        <v>15.632145370135031</v>
      </c>
      <c r="X15" s="57">
        <v>15.599866619060302</v>
      </c>
      <c r="Y15" s="57">
        <v>15.635232410797338</v>
      </c>
      <c r="Z15" s="57">
        <v>16.036307476317084</v>
      </c>
      <c r="AA15" s="57">
        <v>16.003704723865209</v>
      </c>
      <c r="AB15" s="57">
        <v>15.874456147208448</v>
      </c>
    </row>
    <row r="16" spans="1:28" ht="13.5">
      <c r="A16" s="168"/>
      <c r="B16" s="12"/>
      <c r="C16" s="12" t="s">
        <v>9</v>
      </c>
      <c r="D16" s="12"/>
      <c r="E16" s="12"/>
      <c r="F16" s="55">
        <v>19.881125203910013</v>
      </c>
      <c r="G16" s="55">
        <v>20.073468721396978</v>
      </c>
      <c r="H16" s="55">
        <v>20.032477903698943</v>
      </c>
      <c r="I16" s="55">
        <v>19.866881970764773</v>
      </c>
      <c r="J16" s="55">
        <v>19.403454914727462</v>
      </c>
      <c r="K16" s="55">
        <v>19.042928441349058</v>
      </c>
      <c r="L16" s="55">
        <v>18.495972240482558</v>
      </c>
      <c r="M16" s="55">
        <v>17.785345137927038</v>
      </c>
      <c r="N16" s="55">
        <v>17.370896358371951</v>
      </c>
      <c r="O16" s="55">
        <v>16.99237903306501</v>
      </c>
      <c r="P16" s="55">
        <v>16.643712502272589</v>
      </c>
      <c r="Q16" s="55">
        <v>16.427289048473966</v>
      </c>
      <c r="R16" s="55">
        <v>16.331359805139211</v>
      </c>
      <c r="S16" s="55">
        <v>16.241068529337223</v>
      </c>
      <c r="T16" s="55">
        <v>16.276684331111191</v>
      </c>
      <c r="U16" s="55">
        <v>16.153006482087328</v>
      </c>
      <c r="V16" s="55">
        <v>15.882050795751699</v>
      </c>
      <c r="W16" s="55">
        <v>15.623252816236949</v>
      </c>
      <c r="X16" s="55">
        <v>15.592475837230554</v>
      </c>
      <c r="Y16" s="55">
        <v>15.628713534755647</v>
      </c>
      <c r="Z16" s="55">
        <v>16.033058736887472</v>
      </c>
      <c r="AA16" s="55">
        <v>15.999990531654788</v>
      </c>
      <c r="AB16" s="55">
        <v>15.873619397783736</v>
      </c>
    </row>
    <row r="17" spans="1:28" ht="13.5">
      <c r="A17" s="168"/>
      <c r="B17" s="12"/>
      <c r="C17" s="12" t="s">
        <v>187</v>
      </c>
      <c r="D17" s="12"/>
      <c r="E17" s="12"/>
      <c r="F17" s="55">
        <v>16.996874999999999</v>
      </c>
      <c r="G17" s="55">
        <v>17.837299529035871</v>
      </c>
      <c r="H17" s="55">
        <v>17.516436903499471</v>
      </c>
      <c r="I17" s="55">
        <v>16.351347199606749</v>
      </c>
      <c r="J17" s="55">
        <v>17.082803196091405</v>
      </c>
      <c r="K17" s="55">
        <v>16.088983426393693</v>
      </c>
      <c r="L17" s="55">
        <v>15.576266751940464</v>
      </c>
      <c r="M17" s="55">
        <v>16.387362637362639</v>
      </c>
      <c r="N17" s="55">
        <v>15.180815876515986</v>
      </c>
      <c r="O17" s="55">
        <v>16.212752449712777</v>
      </c>
      <c r="P17" s="55">
        <v>15.797062750333778</v>
      </c>
      <c r="Q17" s="55">
        <v>16.161045531197303</v>
      </c>
      <c r="R17" s="55">
        <v>16.406245328262443</v>
      </c>
      <c r="S17" s="55">
        <v>16.199399104788768</v>
      </c>
      <c r="T17" s="55">
        <v>16.028609005190866</v>
      </c>
      <c r="U17" s="55">
        <v>15.106393591444618</v>
      </c>
      <c r="V17" s="55">
        <v>15.539254104520461</v>
      </c>
      <c r="W17" s="55">
        <v>15.482286203332652</v>
      </c>
      <c r="X17" s="55">
        <v>15.418496703333284</v>
      </c>
      <c r="Y17" s="55">
        <v>15.442289935364728</v>
      </c>
      <c r="Z17" s="55">
        <v>15.827959581349566</v>
      </c>
      <c r="AA17" s="55">
        <v>15.878569340220251</v>
      </c>
      <c r="AB17" s="55">
        <v>15.756080326924462</v>
      </c>
    </row>
    <row r="18" spans="1:28" ht="13.5">
      <c r="A18" s="168"/>
      <c r="B18" s="13"/>
      <c r="C18" s="13" t="s">
        <v>11</v>
      </c>
      <c r="D18" s="13"/>
      <c r="E18" s="13"/>
      <c r="F18" s="55">
        <v>19.239506172839505</v>
      </c>
      <c r="G18" s="55">
        <v>18.54102663237202</v>
      </c>
      <c r="H18" s="55">
        <v>19.357698670909624</v>
      </c>
      <c r="I18" s="55">
        <v>18.869620676040938</v>
      </c>
      <c r="J18" s="55">
        <v>18.963326725536131</v>
      </c>
      <c r="K18" s="55">
        <v>18.629239183027138</v>
      </c>
      <c r="L18" s="55">
        <v>18.981395834576595</v>
      </c>
      <c r="M18" s="55">
        <v>18.950256035113387</v>
      </c>
      <c r="N18" s="55">
        <v>18.240542469664526</v>
      </c>
      <c r="O18" s="55">
        <v>18.167198800512725</v>
      </c>
      <c r="P18" s="55">
        <v>17.623995700288027</v>
      </c>
      <c r="Q18" s="55">
        <v>17.346311475409838</v>
      </c>
      <c r="R18" s="55">
        <v>17.452316076294277</v>
      </c>
      <c r="S18" s="55">
        <v>17.131647831670467</v>
      </c>
      <c r="T18" s="55">
        <v>15.818871302421002</v>
      </c>
      <c r="U18" s="55">
        <v>17.004309826524061</v>
      </c>
      <c r="V18" s="55">
        <v>16.938654246667426</v>
      </c>
      <c r="W18" s="55">
        <v>16.991758045664778</v>
      </c>
      <c r="X18" s="55">
        <v>16.871442310886749</v>
      </c>
      <c r="Y18" s="55">
        <v>16.830770113929965</v>
      </c>
      <c r="Z18" s="55">
        <v>16.956845324674678</v>
      </c>
      <c r="AA18" s="55">
        <v>16.756388678762452</v>
      </c>
      <c r="AB18" s="55">
        <v>16.301776351425126</v>
      </c>
    </row>
    <row r="19" spans="1:28" ht="13.5">
      <c r="A19" s="168"/>
      <c r="B19" s="11" t="s">
        <v>124</v>
      </c>
      <c r="C19" s="11"/>
      <c r="D19" s="11"/>
      <c r="E19" s="11"/>
      <c r="F19" s="57">
        <v>16.569516774247134</v>
      </c>
      <c r="G19" s="57">
        <v>16.498233003950148</v>
      </c>
      <c r="H19" s="57">
        <v>16.470743044878876</v>
      </c>
      <c r="I19" s="57">
        <v>16.410054942424214</v>
      </c>
      <c r="J19" s="57">
        <v>16.135481015551392</v>
      </c>
      <c r="K19" s="57">
        <v>15.879161602576172</v>
      </c>
      <c r="L19" s="57">
        <v>15.712030582560672</v>
      </c>
      <c r="M19" s="57">
        <v>15.268297602310945</v>
      </c>
      <c r="N19" s="57">
        <v>14.89761259090135</v>
      </c>
      <c r="O19" s="57">
        <v>14.603145082073981</v>
      </c>
      <c r="P19" s="57">
        <v>14.284786839894851</v>
      </c>
      <c r="Q19" s="57">
        <v>14.024888783501783</v>
      </c>
      <c r="R19" s="57">
        <v>13.896791211462784</v>
      </c>
      <c r="S19" s="57">
        <v>13.836332577847138</v>
      </c>
      <c r="T19" s="57">
        <v>13.743768484014717</v>
      </c>
      <c r="U19" s="57">
        <v>13.635987016632928</v>
      </c>
      <c r="V19" s="57">
        <v>13.542724351503612</v>
      </c>
      <c r="W19" s="57">
        <v>13.415587061375664</v>
      </c>
      <c r="X19" s="57">
        <v>13.405279106613817</v>
      </c>
      <c r="Y19" s="57">
        <v>13.439292980458198</v>
      </c>
      <c r="Z19" s="57">
        <v>13.681718330342616</v>
      </c>
      <c r="AA19" s="57">
        <v>13.597825188470242</v>
      </c>
      <c r="AB19" s="57">
        <v>13.528870257838564</v>
      </c>
    </row>
    <row r="20" spans="1:28" ht="13.5">
      <c r="A20" s="168"/>
      <c r="B20" s="12"/>
      <c r="C20" s="12" t="s">
        <v>12</v>
      </c>
      <c r="D20" s="12"/>
      <c r="E20" s="12"/>
      <c r="F20" s="55">
        <v>16.716156373506024</v>
      </c>
      <c r="G20" s="55">
        <v>16.462036724383747</v>
      </c>
      <c r="H20" s="55">
        <v>14.393478825669005</v>
      </c>
      <c r="I20" s="55">
        <v>14.281717623488579</v>
      </c>
      <c r="J20" s="55">
        <v>14.193058292781425</v>
      </c>
      <c r="K20" s="55">
        <v>14.334031870397139</v>
      </c>
      <c r="L20" s="55">
        <v>14.164011608382635</v>
      </c>
      <c r="M20" s="55">
        <v>14.106598984771574</v>
      </c>
      <c r="N20" s="55">
        <v>13.891193004372267</v>
      </c>
      <c r="O20" s="55">
        <v>13.238478622805527</v>
      </c>
      <c r="P20" s="55">
        <v>13.189159891598916</v>
      </c>
      <c r="Q20" s="55">
        <v>13.203893996755003</v>
      </c>
      <c r="R20" s="55">
        <v>12.738851051380884</v>
      </c>
      <c r="S20" s="55">
        <v>12.791736385846358</v>
      </c>
      <c r="T20" s="55">
        <v>12.590825421429955</v>
      </c>
      <c r="U20" s="55">
        <v>13.625770517759934</v>
      </c>
      <c r="V20" s="55">
        <v>13.432884685340124</v>
      </c>
      <c r="W20" s="55">
        <v>13.615589768456783</v>
      </c>
      <c r="X20" s="55">
        <v>13.428326981450983</v>
      </c>
      <c r="Y20" s="55">
        <v>13.529581546891697</v>
      </c>
      <c r="Z20" s="55">
        <v>13.911641938427696</v>
      </c>
      <c r="AA20" s="55">
        <v>13.888245512449334</v>
      </c>
      <c r="AB20" s="55">
        <v>13.854367102081884</v>
      </c>
    </row>
    <row r="21" spans="1:28" ht="13.5">
      <c r="A21" s="168"/>
      <c r="B21" s="12"/>
      <c r="C21" s="12" t="s">
        <v>13</v>
      </c>
      <c r="D21" s="12"/>
      <c r="E21" s="12"/>
      <c r="F21" s="55">
        <v>14.935974873157768</v>
      </c>
      <c r="G21" s="55">
        <v>14.664341440720625</v>
      </c>
      <c r="H21" s="55">
        <v>14.439043877754845</v>
      </c>
      <c r="I21" s="55">
        <v>14.153370614140236</v>
      </c>
      <c r="J21" s="55">
        <v>13.526591432700364</v>
      </c>
      <c r="K21" s="55">
        <v>13.142079065863044</v>
      </c>
      <c r="L21" s="55">
        <v>12.82431701681149</v>
      </c>
      <c r="M21" s="55">
        <v>12.354604447450203</v>
      </c>
      <c r="N21" s="55">
        <v>12.06215173596228</v>
      </c>
      <c r="O21" s="55">
        <v>11.768941294530858</v>
      </c>
      <c r="P21" s="55">
        <v>11.586131971181336</v>
      </c>
      <c r="Q21" s="55">
        <v>11.369111667830301</v>
      </c>
      <c r="R21" s="55">
        <v>11.369536483186595</v>
      </c>
      <c r="S21" s="55">
        <v>11.325592934117141</v>
      </c>
      <c r="T21" s="55">
        <v>11.354592289285772</v>
      </c>
      <c r="U21" s="55">
        <v>11.167867438865231</v>
      </c>
      <c r="V21" s="55">
        <v>11.121638291422418</v>
      </c>
      <c r="W21" s="55">
        <v>11.076660276110308</v>
      </c>
      <c r="X21" s="55">
        <v>10.749365871414563</v>
      </c>
      <c r="Y21" s="55">
        <v>10.661158666067854</v>
      </c>
      <c r="Z21" s="55">
        <v>11.090851927189822</v>
      </c>
      <c r="AA21" s="55">
        <v>10.956729157056568</v>
      </c>
      <c r="AB21" s="55">
        <v>9.972309189200363</v>
      </c>
    </row>
    <row r="22" spans="1:28" ht="13.5">
      <c r="A22" s="168"/>
      <c r="B22" s="12"/>
      <c r="C22" s="12" t="s">
        <v>188</v>
      </c>
      <c r="D22" s="12"/>
      <c r="E22" s="12"/>
      <c r="F22" s="55">
        <v>13.978363543528211</v>
      </c>
      <c r="G22" s="55">
        <v>13.57787305354179</v>
      </c>
      <c r="H22" s="55">
        <v>13.026364572605562</v>
      </c>
      <c r="I22" s="55">
        <v>12.406205299119234</v>
      </c>
      <c r="J22" s="55">
        <v>11.986591363147379</v>
      </c>
      <c r="K22" s="55">
        <v>11.546448508180942</v>
      </c>
      <c r="L22" s="55">
        <v>11.46695751138088</v>
      </c>
      <c r="M22" s="55">
        <v>11.735527486212417</v>
      </c>
      <c r="N22" s="55">
        <v>11.795171909290417</v>
      </c>
      <c r="O22" s="55">
        <v>12.182200727528087</v>
      </c>
      <c r="P22" s="55">
        <v>12.31507988870084</v>
      </c>
      <c r="Q22" s="55">
        <v>12.253475502766905</v>
      </c>
      <c r="R22" s="55">
        <v>12.132165200142413</v>
      </c>
      <c r="S22" s="55">
        <v>12.241320931047259</v>
      </c>
      <c r="T22" s="55">
        <v>12.183753947042193</v>
      </c>
      <c r="U22" s="55">
        <v>12.11737461299154</v>
      </c>
      <c r="V22" s="55">
        <v>12.102699098767703</v>
      </c>
      <c r="W22" s="55">
        <v>12.061152185073237</v>
      </c>
      <c r="X22" s="55">
        <v>12.124548158316175</v>
      </c>
      <c r="Y22" s="55">
        <v>12.255227894468401</v>
      </c>
      <c r="Z22" s="55">
        <v>12.853003284842798</v>
      </c>
      <c r="AA22" s="55">
        <v>12.859385569992302</v>
      </c>
      <c r="AB22" s="55">
        <v>12.882528123543223</v>
      </c>
    </row>
    <row r="23" spans="1:28" ht="13.5">
      <c r="A23" s="168"/>
      <c r="B23" s="12"/>
      <c r="C23" s="12" t="s">
        <v>15</v>
      </c>
      <c r="D23" s="12"/>
      <c r="E23" s="12"/>
      <c r="F23" s="55">
        <v>19.044572751695782</v>
      </c>
      <c r="G23" s="55">
        <v>19.062669123280791</v>
      </c>
      <c r="H23" s="55">
        <v>19.071603962631595</v>
      </c>
      <c r="I23" s="55">
        <v>19.151944036412271</v>
      </c>
      <c r="J23" s="55">
        <v>18.927359112260589</v>
      </c>
      <c r="K23" s="55">
        <v>18.664300983436313</v>
      </c>
      <c r="L23" s="55">
        <v>18.589420536566426</v>
      </c>
      <c r="M23" s="55">
        <v>18.015476998436071</v>
      </c>
      <c r="N23" s="55">
        <v>17.604188753477612</v>
      </c>
      <c r="O23" s="55">
        <v>17.306928873368864</v>
      </c>
      <c r="P23" s="55">
        <v>16.817598904348369</v>
      </c>
      <c r="Q23" s="55">
        <v>16.526821326821327</v>
      </c>
      <c r="R23" s="55">
        <v>16.306167764314502</v>
      </c>
      <c r="S23" s="55">
        <v>16.10531797431295</v>
      </c>
      <c r="T23" s="55">
        <v>15.970775836903837</v>
      </c>
      <c r="U23" s="55">
        <v>15.766843579508603</v>
      </c>
      <c r="V23" s="55">
        <v>15.579119309845654</v>
      </c>
      <c r="W23" s="55">
        <v>15.309970469975493</v>
      </c>
      <c r="X23" s="55">
        <v>15.07512413656446</v>
      </c>
      <c r="Y23" s="55">
        <v>14.936450510613033</v>
      </c>
      <c r="Z23" s="55">
        <v>14.987982054604075</v>
      </c>
      <c r="AA23" s="55">
        <v>14.914419779600779</v>
      </c>
      <c r="AB23" s="55">
        <v>14.831298686999366</v>
      </c>
    </row>
    <row r="24" spans="1:28" ht="13.5">
      <c r="A24" s="168"/>
      <c r="B24" s="12"/>
      <c r="C24" s="12" t="s">
        <v>16</v>
      </c>
      <c r="D24" s="12"/>
      <c r="E24" s="12"/>
      <c r="F24" s="55">
        <v>17.740515440484049</v>
      </c>
      <c r="G24" s="55"/>
      <c r="H24" s="55">
        <v>17.931692262318567</v>
      </c>
      <c r="I24" s="55">
        <v>17.974862113475837</v>
      </c>
      <c r="J24" s="55">
        <v>17.765156926664663</v>
      </c>
      <c r="K24" s="55">
        <v>17.497466566410257</v>
      </c>
      <c r="L24" s="55">
        <v>17.262640808758015</v>
      </c>
      <c r="M24" s="55">
        <v>16.685078262413715</v>
      </c>
      <c r="N24" s="55">
        <v>16.215515955065761</v>
      </c>
      <c r="O24" s="55">
        <v>15.744002024389832</v>
      </c>
      <c r="P24" s="55">
        <v>15.281819111929609</v>
      </c>
      <c r="Q24" s="55">
        <v>14.964513366565294</v>
      </c>
      <c r="R24" s="55">
        <v>15.030367170368045</v>
      </c>
      <c r="S24" s="55">
        <v>14.974252050013931</v>
      </c>
      <c r="T24" s="55">
        <v>14.92120132503867</v>
      </c>
      <c r="U24" s="55">
        <v>14.925366357531287</v>
      </c>
      <c r="V24" s="55">
        <v>14.814115570794632</v>
      </c>
      <c r="W24" s="55">
        <v>14.789687344325829</v>
      </c>
      <c r="X24" s="55">
        <v>15.045358916521431</v>
      </c>
      <c r="Y24" s="55">
        <v>15.137014574582491</v>
      </c>
      <c r="Z24" s="55">
        <v>15.28723209487193</v>
      </c>
      <c r="AA24" s="55">
        <v>15.155976686166936</v>
      </c>
      <c r="AB24" s="55">
        <v>15.027995312273825</v>
      </c>
    </row>
    <row r="25" spans="1:28" ht="13.5">
      <c r="A25" s="168"/>
      <c r="B25" s="12"/>
      <c r="C25" s="12" t="s">
        <v>187</v>
      </c>
      <c r="D25" s="12"/>
      <c r="E25" s="12"/>
      <c r="F25" s="55">
        <v>14.310629451866344</v>
      </c>
      <c r="G25" s="55">
        <v>14.518150950901967</v>
      </c>
      <c r="H25" s="55">
        <v>14.689192113688842</v>
      </c>
      <c r="I25" s="55">
        <v>14.725991933860559</v>
      </c>
      <c r="J25" s="55">
        <v>14.681217358320925</v>
      </c>
      <c r="K25" s="55">
        <v>14.501451353724573</v>
      </c>
      <c r="L25" s="55">
        <v>14.577905311455156</v>
      </c>
      <c r="M25" s="55">
        <v>14.210956072258785</v>
      </c>
      <c r="N25" s="55">
        <v>13.920055213665382</v>
      </c>
      <c r="O25" s="55">
        <v>13.583896589870422</v>
      </c>
      <c r="P25" s="55">
        <v>13.278236979288968</v>
      </c>
      <c r="Q25" s="55">
        <v>13.069919806002851</v>
      </c>
      <c r="R25" s="55">
        <v>12.77106070816</v>
      </c>
      <c r="S25" s="55">
        <v>12.76003280359906</v>
      </c>
      <c r="T25" s="55">
        <v>12.62677104858451</v>
      </c>
      <c r="U25" s="55">
        <v>12.34940387674764</v>
      </c>
      <c r="V25" s="55">
        <v>12.277354174994416</v>
      </c>
      <c r="W25" s="55">
        <v>12.011231255825354</v>
      </c>
      <c r="X25" s="55">
        <v>11.942862401004723</v>
      </c>
      <c r="Y25" s="55">
        <v>11.973253750338065</v>
      </c>
      <c r="Z25" s="55">
        <v>12.150917574338241</v>
      </c>
      <c r="AA25" s="55">
        <v>12.006497367091077</v>
      </c>
      <c r="AB25" s="55">
        <v>11.774208108373379</v>
      </c>
    </row>
    <row r="26" spans="1:28" ht="13.5">
      <c r="A26" s="168"/>
      <c r="B26" s="12"/>
      <c r="C26" s="12" t="s">
        <v>11</v>
      </c>
      <c r="D26" s="12"/>
      <c r="E26" s="12"/>
      <c r="F26" s="55">
        <v>13.937717601547389</v>
      </c>
      <c r="G26" s="55">
        <v>13.830518605961823</v>
      </c>
      <c r="H26" s="55">
        <v>13.901560178306092</v>
      </c>
      <c r="I26" s="55">
        <v>13.943724546464273</v>
      </c>
      <c r="J26" s="55">
        <v>13.671117124829138</v>
      </c>
      <c r="K26" s="55">
        <v>13.672501443924467</v>
      </c>
      <c r="L26" s="55">
        <v>13.767848693371548</v>
      </c>
      <c r="M26" s="55">
        <v>13.440820443846672</v>
      </c>
      <c r="N26" s="55">
        <v>13.257120977110334</v>
      </c>
      <c r="O26" s="55">
        <v>12.946216949074261</v>
      </c>
      <c r="P26" s="55">
        <v>12.745638423894341</v>
      </c>
      <c r="Q26" s="55">
        <v>12.393866241735241</v>
      </c>
      <c r="R26" s="55">
        <v>12.318370986920334</v>
      </c>
      <c r="S26" s="55">
        <v>12.486318527924498</v>
      </c>
      <c r="T26" s="55">
        <v>13.019488060092886</v>
      </c>
      <c r="U26" s="55">
        <v>12.379918150691783</v>
      </c>
      <c r="V26" s="55">
        <v>12.278469024139033</v>
      </c>
      <c r="W26" s="55">
        <v>12.154223821997187</v>
      </c>
      <c r="X26" s="55">
        <v>12.023509926777836</v>
      </c>
      <c r="Y26" s="55">
        <v>12.608125082122328</v>
      </c>
      <c r="Z26" s="55">
        <v>12.036381172163555</v>
      </c>
      <c r="AA26" s="55">
        <v>11.901791404336644</v>
      </c>
      <c r="AB26" s="55">
        <v>12.01111956571274</v>
      </c>
    </row>
    <row r="27" spans="1:28" ht="13.5">
      <c r="A27" s="168"/>
      <c r="B27" s="12"/>
      <c r="C27" s="12" t="s">
        <v>17</v>
      </c>
      <c r="D27" s="12"/>
      <c r="E27" s="12"/>
      <c r="F27" s="55">
        <v>19.063492063492063</v>
      </c>
      <c r="G27" s="55">
        <v>19.057971014492754</v>
      </c>
      <c r="H27" s="55">
        <v>20.108946439314028</v>
      </c>
      <c r="I27" s="55">
        <v>19.394925178919976</v>
      </c>
      <c r="J27" s="55">
        <v>18.045751633986928</v>
      </c>
      <c r="K27" s="55">
        <v>15.108899297423887</v>
      </c>
      <c r="L27" s="55">
        <v>17.059065934065934</v>
      </c>
      <c r="M27" s="55">
        <v>16.323943661971832</v>
      </c>
      <c r="N27" s="55">
        <v>16.923076923076923</v>
      </c>
      <c r="O27" s="55">
        <v>14.5</v>
      </c>
      <c r="P27" s="55">
        <v>19.274193548387096</v>
      </c>
      <c r="Q27" s="55">
        <v>20.0625</v>
      </c>
      <c r="R27" s="55">
        <v>19.54</v>
      </c>
      <c r="S27" s="55">
        <v>19.177382439421518</v>
      </c>
      <c r="T27" s="55">
        <v>17.385848881603</v>
      </c>
      <c r="U27" s="55">
        <v>15.427969429946819</v>
      </c>
      <c r="V27" s="55">
        <v>17.099411240767452</v>
      </c>
      <c r="W27" s="55">
        <v>16.096738871281723</v>
      </c>
      <c r="X27" s="55">
        <v>15.686274509803921</v>
      </c>
      <c r="Y27" s="55">
        <v>15.555555555555555</v>
      </c>
      <c r="Z27" s="55">
        <v>16.111111111111111</v>
      </c>
      <c r="AA27" s="55">
        <v>15.104166666666666</v>
      </c>
      <c r="AB27" s="55">
        <v>16.319148936170212</v>
      </c>
    </row>
    <row r="28" spans="1:28" ht="13.5">
      <c r="A28" s="168"/>
      <c r="B28" s="13"/>
      <c r="C28" s="13" t="s">
        <v>18</v>
      </c>
      <c r="D28" s="13"/>
      <c r="E28" s="13"/>
      <c r="F28" s="55">
        <v>24.145693512304248</v>
      </c>
      <c r="G28" s="55">
        <v>24.397208121827411</v>
      </c>
      <c r="H28" s="55">
        <v>25.368421052631579</v>
      </c>
      <c r="I28" s="55">
        <v>24.749714285714287</v>
      </c>
      <c r="J28" s="55">
        <v>23.729521715228149</v>
      </c>
      <c r="K28" s="55">
        <v>21.968951952819378</v>
      </c>
      <c r="L28" s="55">
        <v>21.845916001030663</v>
      </c>
      <c r="M28" s="55">
        <v>22.623689727463312</v>
      </c>
      <c r="N28" s="55">
        <v>22.021694214876032</v>
      </c>
      <c r="O28" s="55">
        <v>20.957651661962661</v>
      </c>
      <c r="P28" s="55">
        <v>20.24327122153209</v>
      </c>
      <c r="Q28" s="55">
        <v>19.902263374485596</v>
      </c>
      <c r="R28" s="55">
        <v>20.117133124427266</v>
      </c>
      <c r="S28" s="55">
        <v>20.896913096870701</v>
      </c>
      <c r="T28" s="55">
        <v>20.193409436430368</v>
      </c>
      <c r="U28" s="55">
        <v>19.478856350285465</v>
      </c>
      <c r="V28" s="55">
        <v>19.525410922683069</v>
      </c>
      <c r="W28" s="55">
        <v>18.671065539245504</v>
      </c>
      <c r="X28" s="55">
        <v>19.361195059007521</v>
      </c>
      <c r="Y28" s="55">
        <v>18.096961456540789</v>
      </c>
      <c r="Z28" s="55">
        <v>17.343207899653056</v>
      </c>
      <c r="AA28" s="55">
        <v>17.920971260945496</v>
      </c>
      <c r="AB28" s="55">
        <v>18.677607993032428</v>
      </c>
    </row>
    <row r="29" spans="1:28" ht="13.5">
      <c r="A29" s="168"/>
      <c r="B29" s="9" t="s">
        <v>125</v>
      </c>
      <c r="C29" s="9"/>
      <c r="D29" s="9"/>
      <c r="E29" s="9"/>
      <c r="F29" s="57">
        <v>19.969331145829191</v>
      </c>
      <c r="G29" s="57">
        <v>19.897380253617612</v>
      </c>
      <c r="H29" s="57">
        <v>20.058208273477774</v>
      </c>
      <c r="I29" s="57">
        <v>19.998242444962887</v>
      </c>
      <c r="J29" s="57">
        <v>19.867978724186166</v>
      </c>
      <c r="K29" s="57">
        <v>19.877384455853111</v>
      </c>
      <c r="L29" s="57">
        <v>19.987748060861325</v>
      </c>
      <c r="M29" s="57">
        <v>19.493131663241947</v>
      </c>
      <c r="N29" s="57">
        <v>18.849974998459217</v>
      </c>
      <c r="O29" s="57">
        <v>18.426657710649874</v>
      </c>
      <c r="P29" s="57">
        <v>18.026441199447245</v>
      </c>
      <c r="Q29" s="57">
        <v>17.793330980660194</v>
      </c>
      <c r="R29" s="57">
        <v>17.631456819759737</v>
      </c>
      <c r="S29" s="57">
        <v>17.489506496583044</v>
      </c>
      <c r="T29" s="57">
        <v>17.32142796664467</v>
      </c>
      <c r="U29" s="57">
        <v>17.274999766521152</v>
      </c>
      <c r="V29" s="57">
        <v>17.075362655935081</v>
      </c>
      <c r="W29" s="57">
        <v>16.907464259181278</v>
      </c>
      <c r="X29" s="57">
        <v>16.585058669544431</v>
      </c>
      <c r="Y29" s="57">
        <v>16.493861578148362</v>
      </c>
      <c r="Z29" s="57">
        <v>16.350260486304464</v>
      </c>
      <c r="AA29" s="57">
        <v>16.388402117028843</v>
      </c>
      <c r="AB29" s="57">
        <v>16.422532868924836</v>
      </c>
    </row>
    <row r="30" spans="1:28" ht="13.5">
      <c r="A30" s="168"/>
      <c r="B30" s="11" t="s">
        <v>127</v>
      </c>
      <c r="C30" s="11"/>
      <c r="D30" s="11"/>
      <c r="E30" s="11"/>
      <c r="F30" s="57">
        <v>12.60196360349998</v>
      </c>
      <c r="G30" s="57">
        <v>12.717537309838921</v>
      </c>
      <c r="H30" s="57">
        <v>13.191440037092107</v>
      </c>
      <c r="I30" s="57">
        <v>13.400090713181084</v>
      </c>
      <c r="J30" s="57">
        <v>13.456237222243374</v>
      </c>
      <c r="K30" s="57">
        <v>13.444527019963784</v>
      </c>
      <c r="L30" s="57">
        <v>13.579731826678527</v>
      </c>
      <c r="M30" s="57">
        <v>13.38375182134885</v>
      </c>
      <c r="N30" s="57">
        <v>13.213678352721379</v>
      </c>
      <c r="O30" s="57">
        <v>12.967728102129305</v>
      </c>
      <c r="P30" s="57">
        <v>12.634215795414509</v>
      </c>
      <c r="Q30" s="57">
        <v>12.394847238723139</v>
      </c>
      <c r="R30" s="57">
        <v>12.345933017179432</v>
      </c>
      <c r="S30" s="57">
        <v>12.204584311628901</v>
      </c>
      <c r="T30" s="57">
        <v>11.984171672860446</v>
      </c>
      <c r="U30" s="57">
        <v>11.905495563415366</v>
      </c>
      <c r="V30" s="57">
        <v>11.713743663307953</v>
      </c>
      <c r="W30" s="57">
        <v>11.506671496511823</v>
      </c>
      <c r="X30" s="57">
        <v>11.551027749251217</v>
      </c>
      <c r="Y30" s="57">
        <v>11.519911779610965</v>
      </c>
      <c r="Z30" s="57">
        <v>11.494019629764576</v>
      </c>
      <c r="AA30" s="57">
        <v>11.394039282422534</v>
      </c>
      <c r="AB30" s="57">
        <v>11.320014278729063</v>
      </c>
    </row>
    <row r="31" spans="1:28" ht="13.5">
      <c r="A31" s="168"/>
      <c r="B31" s="12"/>
      <c r="C31" s="12" t="s">
        <v>16</v>
      </c>
      <c r="D31" s="12"/>
      <c r="E31" s="12"/>
      <c r="F31" s="55">
        <v>12.622795401769435</v>
      </c>
      <c r="G31" s="55">
        <v>12.727668554362001</v>
      </c>
      <c r="H31" s="55">
        <v>13.197976035964862</v>
      </c>
      <c r="I31" s="55">
        <v>13.40856687255998</v>
      </c>
      <c r="J31" s="55">
        <v>13.524326311916711</v>
      </c>
      <c r="K31" s="55">
        <v>13.507127592003874</v>
      </c>
      <c r="L31" s="55">
        <v>13.674959121319681</v>
      </c>
      <c r="M31" s="55">
        <v>13.360154795384828</v>
      </c>
      <c r="N31" s="55">
        <v>13.219174474690913</v>
      </c>
      <c r="O31" s="55">
        <v>12.945338997075186</v>
      </c>
      <c r="P31" s="55">
        <v>12.606221708290441</v>
      </c>
      <c r="Q31" s="55">
        <v>12.345971674139706</v>
      </c>
      <c r="R31" s="55">
        <v>12.323456592584622</v>
      </c>
      <c r="S31" s="55">
        <v>12.224531873050932</v>
      </c>
      <c r="T31" s="55">
        <v>12.034359717507751</v>
      </c>
      <c r="U31" s="55">
        <v>11.853991086294347</v>
      </c>
      <c r="V31" s="55">
        <v>11.747749398446063</v>
      </c>
      <c r="W31" s="55">
        <v>11.571382332373666</v>
      </c>
      <c r="X31" s="55">
        <v>11.632435425030355</v>
      </c>
      <c r="Y31" s="55">
        <v>11.605474393791484</v>
      </c>
      <c r="Z31" s="55">
        <v>11.569224857794801</v>
      </c>
      <c r="AA31" s="55">
        <v>11.435945674877519</v>
      </c>
      <c r="AB31" s="55">
        <v>11.434304041174309</v>
      </c>
    </row>
    <row r="32" spans="1:28" ht="13.5">
      <c r="A32" s="168"/>
      <c r="B32" s="12"/>
      <c r="C32" s="12" t="s">
        <v>187</v>
      </c>
      <c r="D32" s="12"/>
      <c r="E32" s="12"/>
      <c r="F32" s="55">
        <v>11.978057622591109</v>
      </c>
      <c r="G32" s="55">
        <v>12.317041019315896</v>
      </c>
      <c r="H32" s="55">
        <v>12.996924190338339</v>
      </c>
      <c r="I32" s="55">
        <v>13.132965897347571</v>
      </c>
      <c r="J32" s="55">
        <v>12.964712736961312</v>
      </c>
      <c r="K32" s="55">
        <v>13.10010049903681</v>
      </c>
      <c r="L32" s="55">
        <v>12.787401431288037</v>
      </c>
      <c r="M32" s="55">
        <v>13.351426435177059</v>
      </c>
      <c r="N32" s="55">
        <v>12.835104812518454</v>
      </c>
      <c r="O32" s="55">
        <v>12.885594830545001</v>
      </c>
      <c r="P32" s="55">
        <v>12.708070452155626</v>
      </c>
      <c r="Q32" s="55">
        <v>12.483850931677019</v>
      </c>
      <c r="R32" s="55">
        <v>12.335352006056018</v>
      </c>
      <c r="S32" s="55">
        <v>11.945925601315976</v>
      </c>
      <c r="T32" s="55">
        <v>11.659691491091289</v>
      </c>
      <c r="U32" s="55">
        <v>12.276879482590333</v>
      </c>
      <c r="V32" s="55">
        <v>11.611739673542441</v>
      </c>
      <c r="W32" s="55">
        <v>11.239559413681798</v>
      </c>
      <c r="X32" s="55">
        <v>11.211129872527254</v>
      </c>
      <c r="Y32" s="55">
        <v>11.243682518890441</v>
      </c>
      <c r="Z32" s="55">
        <v>11.332968734353697</v>
      </c>
      <c r="AA32" s="55">
        <v>11.370645576417852</v>
      </c>
      <c r="AB32" s="55">
        <v>10.977776082572147</v>
      </c>
    </row>
    <row r="33" spans="1:28" ht="13.5">
      <c r="A33" s="168"/>
      <c r="B33" s="12"/>
      <c r="C33" s="12" t="s">
        <v>11</v>
      </c>
      <c r="D33" s="12"/>
      <c r="E33" s="12"/>
      <c r="F33" s="55">
        <v>11.538461538461538</v>
      </c>
      <c r="G33" s="55">
        <v>11.187600904100742</v>
      </c>
      <c r="H33" s="55">
        <v>11.508140531276778</v>
      </c>
      <c r="I33" s="55">
        <v>11.74513295549886</v>
      </c>
      <c r="J33" s="55">
        <v>11.827083468028707</v>
      </c>
      <c r="K33" s="55">
        <v>12.223560237612391</v>
      </c>
      <c r="L33" s="55">
        <v>13.172727272727272</v>
      </c>
      <c r="M33" s="55">
        <v>12.721824686940966</v>
      </c>
      <c r="N33" s="55">
        <v>13.140739661671251</v>
      </c>
      <c r="O33" s="55">
        <v>12.669150061794355</v>
      </c>
      <c r="P33" s="55">
        <v>12.701829924650161</v>
      </c>
      <c r="Q33" s="55">
        <v>13.156989209363063</v>
      </c>
      <c r="R33" s="55">
        <v>12.989873417721519</v>
      </c>
      <c r="S33" s="55">
        <v>12.911037740021362</v>
      </c>
      <c r="T33" s="55">
        <v>12.241533363172797</v>
      </c>
      <c r="U33" s="55">
        <v>12.611010059523885</v>
      </c>
      <c r="V33" s="55">
        <v>12.083298345788899</v>
      </c>
      <c r="W33" s="55">
        <v>11.933279845626005</v>
      </c>
      <c r="X33" s="55">
        <v>11.786037142820332</v>
      </c>
      <c r="Y33" s="55">
        <v>11.541928206566585</v>
      </c>
      <c r="Z33" s="55">
        <v>11.579699667335371</v>
      </c>
      <c r="AA33" s="55">
        <v>11.73937184895375</v>
      </c>
      <c r="AB33" s="55">
        <v>11.651663849860611</v>
      </c>
    </row>
    <row r="34" spans="1:28" ht="13.5">
      <c r="A34" s="168"/>
      <c r="B34" s="12"/>
      <c r="C34" s="12" t="s">
        <v>19</v>
      </c>
      <c r="D34" s="12"/>
      <c r="E34" s="12"/>
      <c r="F34" s="55">
        <v>15.424140821458508</v>
      </c>
      <c r="G34" s="55">
        <v>15.555680040269927</v>
      </c>
      <c r="H34" s="55">
        <v>15.432311144353029</v>
      </c>
      <c r="I34" s="55">
        <v>16.023663730110929</v>
      </c>
      <c r="J34" s="55">
        <v>15.609561101481978</v>
      </c>
      <c r="K34" s="55">
        <v>14.804955580893942</v>
      </c>
      <c r="L34" s="55">
        <v>14.906645569620252</v>
      </c>
      <c r="M34" s="55">
        <v>16.359766277128546</v>
      </c>
      <c r="N34" s="55">
        <v>16.296638655462186</v>
      </c>
      <c r="O34" s="55">
        <v>16.12542687046496</v>
      </c>
      <c r="P34" s="55">
        <v>15.308013355592655</v>
      </c>
      <c r="Q34" s="55">
        <v>14.851569126378287</v>
      </c>
      <c r="R34" s="55">
        <v>14.254387529927621</v>
      </c>
      <c r="S34" s="55">
        <v>13.949133477847177</v>
      </c>
      <c r="T34" s="55">
        <v>13.111791761224723</v>
      </c>
      <c r="U34" s="55">
        <v>12.824353505748398</v>
      </c>
      <c r="V34" s="55">
        <v>12.243243094462827</v>
      </c>
      <c r="W34" s="55">
        <v>11.443953017883816</v>
      </c>
      <c r="X34" s="55">
        <v>11.352755097678793</v>
      </c>
      <c r="Y34" s="55">
        <v>11.205740412352037</v>
      </c>
      <c r="Z34" s="55">
        <v>10.548517893570404</v>
      </c>
      <c r="AA34" s="55">
        <v>10.468752155736553</v>
      </c>
      <c r="AB34" s="55">
        <v>10.333811997262641</v>
      </c>
    </row>
    <row r="35" spans="1:28" ht="13.5">
      <c r="A35" s="168"/>
      <c r="B35" s="14"/>
      <c r="C35" s="14" t="s">
        <v>20</v>
      </c>
      <c r="D35" s="14"/>
      <c r="E35" s="14"/>
      <c r="F35" s="55">
        <v>12.595955427156417</v>
      </c>
      <c r="G35" s="55">
        <v>12.576776165011459</v>
      </c>
      <c r="H35" s="55">
        <v>12.966740576496674</v>
      </c>
      <c r="I35" s="55">
        <v>13.098930645272977</v>
      </c>
      <c r="J35" s="55">
        <v>12.239211623142674</v>
      </c>
      <c r="K35" s="55">
        <v>12.143519665800792</v>
      </c>
      <c r="L35" s="55">
        <v>11.907681465821002</v>
      </c>
      <c r="M35" s="55">
        <v>12.619985412107951</v>
      </c>
      <c r="N35" s="55">
        <v>12.236588720770289</v>
      </c>
      <c r="O35" s="55">
        <v>12.128805495416032</v>
      </c>
      <c r="P35" s="55">
        <v>11.440231362467866</v>
      </c>
      <c r="Q35" s="55">
        <v>11.689373297002724</v>
      </c>
      <c r="R35" s="55">
        <v>11.447932545296972</v>
      </c>
      <c r="S35" s="55">
        <v>11.030530051258943</v>
      </c>
      <c r="T35" s="55">
        <v>10.799066750533621</v>
      </c>
      <c r="U35" s="55">
        <v>10.258293022450637</v>
      </c>
      <c r="V35" s="55">
        <v>10.135791273879665</v>
      </c>
      <c r="W35" s="55">
        <v>10.217940967878086</v>
      </c>
      <c r="X35" s="55">
        <v>10.420846883000069</v>
      </c>
      <c r="Y35" s="55">
        <v>9.8775733619319404</v>
      </c>
      <c r="Z35" s="55">
        <v>9.5793803232252674</v>
      </c>
      <c r="AA35" s="55">
        <v>9.4950774769565882</v>
      </c>
      <c r="AB35" s="55">
        <v>9.4035631293570869</v>
      </c>
    </row>
    <row r="36" spans="1:28" ht="16.5" customHeight="1">
      <c r="A36" s="168"/>
      <c r="B36" s="15"/>
      <c r="C36" s="15"/>
      <c r="D36" s="15"/>
      <c r="E36" s="15"/>
      <c r="F36" s="57"/>
      <c r="G36" s="57"/>
      <c r="H36" s="57"/>
      <c r="I36" s="57"/>
      <c r="J36" s="57"/>
      <c r="K36" s="57"/>
      <c r="L36" s="57"/>
      <c r="M36" s="57"/>
      <c r="N36" s="57"/>
      <c r="O36" s="57"/>
      <c r="P36" s="57"/>
      <c r="Q36" s="57"/>
      <c r="R36" s="57"/>
      <c r="S36" s="57"/>
      <c r="T36" s="57"/>
      <c r="U36" s="57"/>
      <c r="V36" s="57"/>
      <c r="W36" s="57"/>
      <c r="X36" s="57"/>
      <c r="Y36" s="57"/>
      <c r="Z36" s="57"/>
      <c r="AA36" s="57"/>
      <c r="AB36" s="57"/>
    </row>
    <row r="37" spans="1:28" ht="13.5" customHeight="1">
      <c r="A37" s="168">
        <v>74</v>
      </c>
      <c r="B37" s="10" t="s">
        <v>128</v>
      </c>
      <c r="C37" s="10"/>
      <c r="D37" s="10"/>
      <c r="E37" s="10"/>
      <c r="F37" s="78">
        <v>23.948609079677937</v>
      </c>
      <c r="G37" s="78">
        <v>23.788030580213142</v>
      </c>
      <c r="H37" s="78">
        <v>23.750637775402804</v>
      </c>
      <c r="I37" s="78">
        <v>23.612758038663831</v>
      </c>
      <c r="J37" s="78">
        <v>23.426325595943545</v>
      </c>
      <c r="K37" s="78">
        <v>23.446835561842509</v>
      </c>
      <c r="L37" s="78">
        <v>23.942104828189962</v>
      </c>
      <c r="M37" s="78">
        <v>23.470317683900564</v>
      </c>
      <c r="N37" s="78">
        <v>22.802364711540989</v>
      </c>
      <c r="O37" s="78">
        <v>22.224178956471853</v>
      </c>
      <c r="P37" s="78">
        <v>21.818381920094186</v>
      </c>
      <c r="Q37" s="78">
        <v>21.578787155306195</v>
      </c>
      <c r="R37" s="78">
        <v>21.378812308584784</v>
      </c>
      <c r="S37" s="78">
        <v>21.261932681008744</v>
      </c>
      <c r="T37" s="78">
        <v>21.065051800376065</v>
      </c>
      <c r="U37" s="78">
        <v>20.879463993995444</v>
      </c>
      <c r="V37" s="78">
        <v>20.66984022577439</v>
      </c>
      <c r="W37" s="78">
        <v>20.538112539939604</v>
      </c>
      <c r="X37" s="78">
        <v>20.077789940894757</v>
      </c>
      <c r="Y37" s="78">
        <v>20.01975090899365</v>
      </c>
      <c r="Z37" s="78">
        <v>19.676256650474716</v>
      </c>
      <c r="AA37" s="78">
        <v>19.575434484767488</v>
      </c>
      <c r="AB37" s="78">
        <v>19.662060123753246</v>
      </c>
    </row>
    <row r="38" spans="1:28" ht="13.5">
      <c r="A38" s="168"/>
      <c r="B38" s="12"/>
      <c r="C38" s="12" t="s">
        <v>21</v>
      </c>
      <c r="D38" s="12"/>
      <c r="E38" s="12"/>
      <c r="F38" s="67">
        <v>33.002277742188056</v>
      </c>
      <c r="G38" s="67">
        <v>32.874663199963329</v>
      </c>
      <c r="H38" s="67">
        <v>33.476757960206221</v>
      </c>
      <c r="I38" s="67">
        <v>33.210723170277618</v>
      </c>
      <c r="J38" s="67">
        <v>33.319808915389821</v>
      </c>
      <c r="K38" s="67">
        <v>33.811222092168144</v>
      </c>
      <c r="L38" s="67">
        <v>34.314064383924432</v>
      </c>
      <c r="M38" s="67">
        <v>34.011154800565251</v>
      </c>
      <c r="N38" s="67">
        <v>33.141288902075296</v>
      </c>
      <c r="O38" s="67">
        <v>32.442663663803415</v>
      </c>
      <c r="P38" s="67">
        <v>31.677071757421814</v>
      </c>
      <c r="Q38" s="67">
        <v>31.345194799975889</v>
      </c>
      <c r="R38" s="67">
        <v>30.974793153796234</v>
      </c>
      <c r="S38" s="67">
        <v>31.061290712921036</v>
      </c>
      <c r="T38" s="67">
        <v>30.123190886251983</v>
      </c>
      <c r="U38" s="67">
        <v>30.03299746603011</v>
      </c>
      <c r="V38" s="67">
        <v>30.021809715546784</v>
      </c>
      <c r="W38" s="67">
        <v>29.941040765283613</v>
      </c>
      <c r="X38" s="67">
        <v>29.282153917014661</v>
      </c>
      <c r="Y38" s="67">
        <v>29.478878588238427</v>
      </c>
      <c r="Z38" s="67">
        <v>28.641019153709838</v>
      </c>
      <c r="AA38" s="67">
        <v>28.185018321261854</v>
      </c>
      <c r="AB38" s="67">
        <v>27.685741452793128</v>
      </c>
    </row>
    <row r="39" spans="1:28" ht="13.5">
      <c r="A39" s="168"/>
      <c r="B39" s="12"/>
      <c r="C39" s="12"/>
      <c r="D39" s="12" t="s">
        <v>22</v>
      </c>
      <c r="E39" s="12"/>
      <c r="F39" s="55">
        <v>37.839118854248539</v>
      </c>
      <c r="G39" s="55">
        <v>37.833228795322846</v>
      </c>
      <c r="H39" s="55">
        <v>38.543488103371011</v>
      </c>
      <c r="I39" s="55">
        <v>38.411936769201688</v>
      </c>
      <c r="J39" s="55">
        <v>38.662762917446919</v>
      </c>
      <c r="K39" s="55">
        <v>38.640414258937888</v>
      </c>
      <c r="L39" s="55">
        <v>38.802007421113345</v>
      </c>
      <c r="M39" s="55">
        <v>37.942248501538963</v>
      </c>
      <c r="N39" s="55">
        <v>36.942626019155092</v>
      </c>
      <c r="O39" s="55">
        <v>36.226549462847224</v>
      </c>
      <c r="P39" s="55">
        <v>35.372061178545735</v>
      </c>
      <c r="Q39" s="55">
        <v>34.916027130418456</v>
      </c>
      <c r="R39" s="55">
        <v>34.681927941281948</v>
      </c>
      <c r="S39" s="55">
        <v>34.888828168637851</v>
      </c>
      <c r="T39" s="55">
        <v>34.386937577966727</v>
      </c>
      <c r="U39" s="55">
        <v>34.765911767499617</v>
      </c>
      <c r="V39" s="55">
        <v>34.386066219158387</v>
      </c>
      <c r="W39" s="55">
        <v>34.108794339578324</v>
      </c>
      <c r="X39" s="55">
        <v>33.317550036040437</v>
      </c>
      <c r="Y39" s="55">
        <v>33.484150600555985</v>
      </c>
      <c r="Z39" s="55">
        <v>32.843353524446954</v>
      </c>
      <c r="AA39" s="55">
        <v>32.889362310178861</v>
      </c>
      <c r="AB39" s="55">
        <v>33.08407131900745</v>
      </c>
    </row>
    <row r="40" spans="1:28" ht="13.5">
      <c r="A40" s="168"/>
      <c r="B40" s="12"/>
      <c r="C40" s="12"/>
      <c r="D40" s="12" t="s">
        <v>23</v>
      </c>
      <c r="E40" s="12"/>
      <c r="F40" s="55">
        <v>11.66569650293288</v>
      </c>
      <c r="G40" s="55">
        <v>11.996318110408163</v>
      </c>
      <c r="H40" s="55">
        <v>12.394893658923863</v>
      </c>
      <c r="I40" s="55">
        <v>11.83782598524105</v>
      </c>
      <c r="J40" s="55">
        <v>11.053821435353363</v>
      </c>
      <c r="K40" s="55">
        <v>10.768018673818633</v>
      </c>
      <c r="L40" s="55">
        <v>10.67535644827629</v>
      </c>
      <c r="M40" s="55">
        <v>10.604903575927899</v>
      </c>
      <c r="N40" s="55">
        <v>10.23447376738306</v>
      </c>
      <c r="O40" s="55">
        <v>9.5550566185083952</v>
      </c>
      <c r="P40" s="55">
        <v>9.2936024371667934</v>
      </c>
      <c r="Q40" s="55">
        <v>9.520402243279829</v>
      </c>
      <c r="R40" s="55">
        <v>9.6622085667811319</v>
      </c>
      <c r="S40" s="55">
        <v>10.534038038016753</v>
      </c>
      <c r="T40" s="55">
        <v>13.029595764517991</v>
      </c>
      <c r="U40" s="55">
        <v>12.002978637552371</v>
      </c>
      <c r="V40" s="55">
        <v>11.094788387478864</v>
      </c>
      <c r="W40" s="55">
        <v>10.694237263857451</v>
      </c>
      <c r="X40" s="55">
        <v>10.40517031397021</v>
      </c>
      <c r="Y40" s="55">
        <v>10.633963556616578</v>
      </c>
      <c r="Z40" s="55">
        <v>11.612127041060624</v>
      </c>
      <c r="AA40" s="55">
        <v>11.661281226301874</v>
      </c>
      <c r="AB40" s="55">
        <v>11.494372890605902</v>
      </c>
    </row>
    <row r="41" spans="1:28" ht="13.5">
      <c r="A41" s="168"/>
      <c r="B41" s="12"/>
      <c r="C41" s="12"/>
      <c r="D41" s="12" t="s">
        <v>24</v>
      </c>
      <c r="E41" s="12"/>
      <c r="F41" s="55">
        <v>11.715283984724142</v>
      </c>
      <c r="G41" s="55">
        <v>12.185139165009941</v>
      </c>
      <c r="H41" s="55">
        <v>12.175790285273708</v>
      </c>
      <c r="I41" s="55">
        <v>12.157000500582564</v>
      </c>
      <c r="J41" s="55">
        <v>11.726259686397206</v>
      </c>
      <c r="K41" s="55">
        <v>11.61273855440122</v>
      </c>
      <c r="L41" s="55">
        <v>11.648207519673564</v>
      </c>
      <c r="M41" s="55">
        <v>12.049462917058438</v>
      </c>
      <c r="N41" s="55">
        <v>11.69253604749788</v>
      </c>
      <c r="O41" s="55">
        <v>11.305224564619616</v>
      </c>
      <c r="P41" s="55">
        <v>11.390647832440331</v>
      </c>
      <c r="Q41" s="55">
        <v>11.589743589743589</v>
      </c>
      <c r="R41" s="55">
        <v>11.95030737704918</v>
      </c>
      <c r="S41" s="55">
        <v>13.933460248390897</v>
      </c>
      <c r="T41" s="55">
        <v>9.9459033843192728</v>
      </c>
      <c r="U41" s="55">
        <v>10.39197250181112</v>
      </c>
      <c r="V41" s="55">
        <v>9.9370298833246977</v>
      </c>
      <c r="W41" s="55">
        <v>9.9352157837908592</v>
      </c>
      <c r="X41" s="55">
        <v>8.6774153584765408</v>
      </c>
      <c r="Y41" s="55">
        <v>8.6941891149956607</v>
      </c>
      <c r="Z41" s="55">
        <v>8.8457983589873557</v>
      </c>
      <c r="AA41" s="55">
        <v>8.8364293085655312</v>
      </c>
      <c r="AB41" s="55">
        <v>8.9110779742917003</v>
      </c>
    </row>
    <row r="42" spans="1:28" ht="13.5">
      <c r="A42" s="168"/>
      <c r="B42" s="12"/>
      <c r="C42" s="12" t="s">
        <v>25</v>
      </c>
      <c r="D42" s="12"/>
      <c r="E42" s="12"/>
      <c r="F42" s="55">
        <v>16.266666666666666</v>
      </c>
      <c r="G42" s="55">
        <v>17.11904761904762</v>
      </c>
      <c r="H42" s="55">
        <v>16.65012406947891</v>
      </c>
      <c r="I42" s="55">
        <v>17.100000000000001</v>
      </c>
      <c r="J42" s="55">
        <v>15.365853658536585</v>
      </c>
      <c r="K42" s="55">
        <v>14.128205128205128</v>
      </c>
      <c r="L42" s="55">
        <v>14.939393939393939</v>
      </c>
      <c r="M42" s="55">
        <v>16.555555555555557</v>
      </c>
      <c r="N42" s="55">
        <v>14.805555555555555</v>
      </c>
      <c r="O42" s="55">
        <v>14.147058823529411</v>
      </c>
      <c r="P42" s="55">
        <v>13.774193548387096</v>
      </c>
      <c r="Q42" s="55">
        <v>13.846153846153847</v>
      </c>
      <c r="R42" s="55">
        <v>13.545454545454545</v>
      </c>
      <c r="S42" s="55">
        <v>12.310902451747522</v>
      </c>
      <c r="T42" s="55">
        <v>11.036036036036036</v>
      </c>
      <c r="U42" s="55">
        <v>10.137457044673539</v>
      </c>
      <c r="V42" s="55">
        <v>10.714285714285714</v>
      </c>
      <c r="W42" s="55">
        <v>8.717948717948719</v>
      </c>
      <c r="X42" s="55">
        <v>9.3333333333333339</v>
      </c>
      <c r="Y42" s="55">
        <v>10.891089108910892</v>
      </c>
      <c r="Z42" s="55">
        <v>18.10278764857328</v>
      </c>
      <c r="AA42" s="55">
        <v>0</v>
      </c>
      <c r="AB42" s="55">
        <v>14.093959731543624</v>
      </c>
    </row>
    <row r="43" spans="1:28" ht="13.5">
      <c r="A43" s="168"/>
      <c r="B43" s="12"/>
      <c r="C43" s="12" t="s">
        <v>26</v>
      </c>
      <c r="D43" s="12"/>
      <c r="E43" s="12"/>
      <c r="F43" s="55">
        <v>14.219909445352785</v>
      </c>
      <c r="G43" s="55">
        <v>14.676077581127895</v>
      </c>
      <c r="H43" s="55">
        <v>14.841914343328074</v>
      </c>
      <c r="I43" s="55">
        <v>14.854940913632399</v>
      </c>
      <c r="J43" s="55">
        <v>14.629704613687359</v>
      </c>
      <c r="K43" s="55">
        <v>14.350595229221224</v>
      </c>
      <c r="L43" s="55">
        <v>14.475957941922893</v>
      </c>
      <c r="M43" s="55">
        <v>14.065597572404346</v>
      </c>
      <c r="N43" s="55">
        <v>13.768455467999011</v>
      </c>
      <c r="O43" s="55">
        <v>13.397474409087049</v>
      </c>
      <c r="P43" s="55">
        <v>13.355494421519181</v>
      </c>
      <c r="Q43" s="55">
        <v>13.354393136981635</v>
      </c>
      <c r="R43" s="55">
        <v>13.446353015472056</v>
      </c>
      <c r="S43" s="55">
        <v>13.348844567279293</v>
      </c>
      <c r="T43" s="55">
        <v>13.37890795200841</v>
      </c>
      <c r="U43" s="55">
        <v>13.252487056795866</v>
      </c>
      <c r="V43" s="55">
        <v>13.050824015723562</v>
      </c>
      <c r="W43" s="55">
        <v>12.929088027787541</v>
      </c>
      <c r="X43" s="55">
        <v>12.819253998529028</v>
      </c>
      <c r="Y43" s="55">
        <v>12.575108353417837</v>
      </c>
      <c r="Z43" s="55">
        <v>12.252057491832225</v>
      </c>
      <c r="AA43" s="55">
        <v>12.357720483818758</v>
      </c>
      <c r="AB43" s="55">
        <v>12.755049330049204</v>
      </c>
    </row>
    <row r="44" spans="1:28" ht="13.5">
      <c r="A44" s="168"/>
      <c r="B44" s="12"/>
      <c r="C44" s="12" t="s">
        <v>27</v>
      </c>
      <c r="D44" s="12"/>
      <c r="E44" s="12"/>
      <c r="F44" s="55">
        <v>14.107466063348417</v>
      </c>
      <c r="G44" s="55">
        <v>13.953061224489796</v>
      </c>
      <c r="H44" s="55">
        <v>14.922688304140943</v>
      </c>
      <c r="I44" s="55">
        <v>15.359450726978999</v>
      </c>
      <c r="J44" s="55">
        <v>14.478325859491779</v>
      </c>
      <c r="K44" s="55">
        <v>14.420973782771535</v>
      </c>
      <c r="L44" s="55">
        <v>15.201342281879194</v>
      </c>
      <c r="M44" s="55">
        <v>15.680583167660702</v>
      </c>
      <c r="N44" s="55">
        <v>14.981778425655977</v>
      </c>
      <c r="O44" s="55">
        <v>14.475745178258329</v>
      </c>
      <c r="P44" s="55">
        <v>13.470383275261325</v>
      </c>
      <c r="Q44" s="55">
        <v>13.296922148461075</v>
      </c>
      <c r="R44" s="55">
        <v>12.800740283775447</v>
      </c>
      <c r="S44" s="55">
        <v>12.850407286931029</v>
      </c>
      <c r="T44" s="55">
        <v>12.13490495749318</v>
      </c>
      <c r="U44" s="55">
        <v>11.946995074400936</v>
      </c>
      <c r="V44" s="55">
        <v>11.456088664265412</v>
      </c>
      <c r="W44" s="55">
        <v>10.931457920214056</v>
      </c>
      <c r="X44" s="55">
        <v>10.629917576506031</v>
      </c>
      <c r="Y44" s="55">
        <v>10.9557499483405</v>
      </c>
      <c r="Z44" s="55">
        <v>10.387944847865846</v>
      </c>
      <c r="AA44" s="55">
        <v>9.7938614348998456</v>
      </c>
      <c r="AB44" s="55">
        <v>9.4562138815808048</v>
      </c>
    </row>
    <row r="45" spans="1:28" ht="13.5">
      <c r="A45" s="168"/>
      <c r="B45" s="12"/>
      <c r="C45" s="12" t="s">
        <v>28</v>
      </c>
      <c r="D45" s="12"/>
      <c r="E45" s="12"/>
      <c r="F45" s="55">
        <v>13.621185592796397</v>
      </c>
      <c r="G45" s="55">
        <v>13.779623730222468</v>
      </c>
      <c r="H45" s="55">
        <v>12.995575221238939</v>
      </c>
      <c r="I45" s="55">
        <v>13.847939347474941</v>
      </c>
      <c r="J45" s="55">
        <v>13.688392423673177</v>
      </c>
      <c r="K45" s="55">
        <v>13.463230141180818</v>
      </c>
      <c r="L45" s="55">
        <v>13.951014125316915</v>
      </c>
      <c r="M45" s="55">
        <v>13.527463451599443</v>
      </c>
      <c r="N45" s="55">
        <v>13.301131411535673</v>
      </c>
      <c r="O45" s="55">
        <v>13.058835324212772</v>
      </c>
      <c r="P45" s="55">
        <v>12.872598659717051</v>
      </c>
      <c r="Q45" s="55">
        <v>12.863895216400911</v>
      </c>
      <c r="R45" s="55">
        <v>12.953426525741561</v>
      </c>
      <c r="S45" s="55">
        <v>12.989743785576897</v>
      </c>
      <c r="T45" s="55">
        <v>12.802169733476507</v>
      </c>
      <c r="U45" s="55">
        <v>12.498476116295141</v>
      </c>
      <c r="V45" s="55">
        <v>12.103676238387591</v>
      </c>
      <c r="W45" s="55">
        <v>11.915934388480036</v>
      </c>
      <c r="X45" s="55">
        <v>11.826238199487142</v>
      </c>
      <c r="Y45" s="55">
        <v>11.839680802427232</v>
      </c>
      <c r="Z45" s="55">
        <v>11.657072118884662</v>
      </c>
      <c r="AA45" s="55">
        <v>11.391421424407662</v>
      </c>
      <c r="AB45" s="55">
        <v>11.298031636474947</v>
      </c>
    </row>
    <row r="46" spans="1:28" ht="13.5">
      <c r="A46" s="168"/>
      <c r="B46" s="12"/>
      <c r="C46" s="12" t="s">
        <v>29</v>
      </c>
      <c r="D46" s="12"/>
      <c r="E46" s="12"/>
      <c r="F46" s="55">
        <v>19.02651854506361</v>
      </c>
      <c r="G46" s="55">
        <v>19.520009235660659</v>
      </c>
      <c r="H46" s="55">
        <v>19.798032806275632</v>
      </c>
      <c r="I46" s="55">
        <v>19.691241203371678</v>
      </c>
      <c r="J46" s="55">
        <v>19.662573482264612</v>
      </c>
      <c r="K46" s="55">
        <v>19.015231780216396</v>
      </c>
      <c r="L46" s="55">
        <v>19.476439031462956</v>
      </c>
      <c r="M46" s="55">
        <v>19.84462767364456</v>
      </c>
      <c r="N46" s="55">
        <v>19.07324323955762</v>
      </c>
      <c r="O46" s="55">
        <v>18.552302857660283</v>
      </c>
      <c r="P46" s="55">
        <v>18.080312626330684</v>
      </c>
      <c r="Q46" s="55">
        <v>18.136851876408965</v>
      </c>
      <c r="R46" s="55">
        <v>18.016524657887942</v>
      </c>
      <c r="S46" s="55">
        <v>17.795277882213178</v>
      </c>
      <c r="T46" s="55">
        <v>17.563033919431394</v>
      </c>
      <c r="U46" s="55">
        <v>17.176898424704643</v>
      </c>
      <c r="V46" s="55">
        <v>16.365184945886831</v>
      </c>
      <c r="W46" s="55">
        <v>16.075284428458396</v>
      </c>
      <c r="X46" s="55">
        <v>15.917924037460978</v>
      </c>
      <c r="Y46" s="55">
        <v>15.88228392647634</v>
      </c>
      <c r="Z46" s="55">
        <v>15.524538672948568</v>
      </c>
      <c r="AA46" s="55">
        <v>15.254413476518469</v>
      </c>
      <c r="AB46" s="55">
        <v>15.134394740529315</v>
      </c>
    </row>
    <row r="47" spans="1:28" ht="13.5">
      <c r="A47" s="168"/>
      <c r="B47" s="12"/>
      <c r="C47" s="12" t="s">
        <v>30</v>
      </c>
      <c r="D47" s="12"/>
      <c r="E47" s="12"/>
      <c r="F47" s="55">
        <v>16.88792412792586</v>
      </c>
      <c r="G47" s="55">
        <v>17.450128983952116</v>
      </c>
      <c r="H47" s="55">
        <v>17.842528735632182</v>
      </c>
      <c r="I47" s="55">
        <v>17.818265606994899</v>
      </c>
      <c r="J47" s="55">
        <v>17.347899010026005</v>
      </c>
      <c r="K47" s="55">
        <v>17.334251945181066</v>
      </c>
      <c r="L47" s="55">
        <v>17.959932837863896</v>
      </c>
      <c r="M47" s="55">
        <v>18.372813928574171</v>
      </c>
      <c r="N47" s="55">
        <v>18.170669867847792</v>
      </c>
      <c r="O47" s="55">
        <v>17.925180148000941</v>
      </c>
      <c r="P47" s="55">
        <v>17.692204814673289</v>
      </c>
      <c r="Q47" s="55">
        <v>17.606951871657753</v>
      </c>
      <c r="R47" s="55">
        <v>17.527503398278206</v>
      </c>
      <c r="S47" s="55">
        <v>17.466559379279229</v>
      </c>
      <c r="T47" s="55">
        <v>17.371432889405945</v>
      </c>
      <c r="U47" s="55">
        <v>16.907915749223857</v>
      </c>
      <c r="V47" s="55">
        <v>16.721227993045243</v>
      </c>
      <c r="W47" s="55">
        <v>16.4108236722066</v>
      </c>
      <c r="X47" s="55">
        <v>16.344139627849867</v>
      </c>
      <c r="Y47" s="55">
        <v>16.31956571079192</v>
      </c>
      <c r="Z47" s="55">
        <v>15.887223580738755</v>
      </c>
      <c r="AA47" s="55">
        <v>15.522814536351836</v>
      </c>
      <c r="AB47" s="55">
        <v>15.341853617514307</v>
      </c>
    </row>
    <row r="48" spans="1:28" ht="13.5">
      <c r="A48" s="168"/>
      <c r="B48" s="12"/>
      <c r="C48" s="12" t="s">
        <v>31</v>
      </c>
      <c r="D48" s="12"/>
      <c r="E48" s="12"/>
      <c r="F48" s="79">
        <v>7.7744360902255636</v>
      </c>
      <c r="G48" s="79">
        <v>7.80546792849632</v>
      </c>
      <c r="H48" s="79">
        <v>8.1511879049676033</v>
      </c>
      <c r="I48" s="79">
        <v>7.8221052631578951</v>
      </c>
      <c r="J48" s="79">
        <v>8.0031578947368427</v>
      </c>
      <c r="K48" s="79">
        <v>7.9745762711864403</v>
      </c>
      <c r="L48" s="79">
        <v>8.0887640449438205</v>
      </c>
      <c r="M48" s="79">
        <v>8.3289760348583872</v>
      </c>
      <c r="N48" s="79">
        <v>8.2124079915878028</v>
      </c>
      <c r="O48" s="79">
        <v>8.2586912065439666</v>
      </c>
      <c r="P48" s="79">
        <v>8.0502901353965175</v>
      </c>
      <c r="Q48" s="79">
        <v>7.8566243194192378</v>
      </c>
      <c r="R48" s="79">
        <v>7.6184668989547042</v>
      </c>
      <c r="S48" s="79">
        <v>7.552047781569966</v>
      </c>
      <c r="T48" s="79">
        <v>7.4925249169435215</v>
      </c>
      <c r="U48" s="79">
        <v>7.4491935483870968</v>
      </c>
      <c r="V48" s="79">
        <v>7.4779179810725553</v>
      </c>
      <c r="W48" s="79">
        <v>7.5185758513931891</v>
      </c>
      <c r="X48" s="79">
        <v>7.6661608497723828</v>
      </c>
      <c r="Y48" s="79">
        <v>7.5078347578347575</v>
      </c>
      <c r="Z48" s="79">
        <v>9.6160220994475143</v>
      </c>
      <c r="AA48" s="79">
        <v>9.7629482071713145</v>
      </c>
      <c r="AB48" s="79">
        <v>9.4067114093959727</v>
      </c>
    </row>
    <row r="49" spans="1:28" ht="13.5">
      <c r="A49" s="168"/>
      <c r="B49" s="16" t="s">
        <v>129</v>
      </c>
      <c r="C49" s="16"/>
      <c r="D49" s="16"/>
      <c r="E49" s="16"/>
      <c r="F49" s="57">
        <v>13.416141991153813</v>
      </c>
      <c r="G49" s="57">
        <v>13.881473457424514</v>
      </c>
      <c r="H49" s="57">
        <v>13.969257564437873</v>
      </c>
      <c r="I49" s="57">
        <v>14.072934621849365</v>
      </c>
      <c r="J49" s="57">
        <v>13.839194172816534</v>
      </c>
      <c r="K49" s="57">
        <v>13.637819862522441</v>
      </c>
      <c r="L49" s="57">
        <v>13.926083936277626</v>
      </c>
      <c r="M49" s="57">
        <v>13.780619316816898</v>
      </c>
      <c r="N49" s="57">
        <v>13.5065577326296</v>
      </c>
      <c r="O49" s="57">
        <v>13.172837888533543</v>
      </c>
      <c r="P49" s="57">
        <v>12.999478071765132</v>
      </c>
      <c r="Q49" s="57">
        <v>13.020614535631221</v>
      </c>
      <c r="R49" s="57">
        <v>13.056461318051577</v>
      </c>
      <c r="S49" s="57">
        <v>13.095849498789397</v>
      </c>
      <c r="T49" s="57">
        <v>13.232574347444643</v>
      </c>
      <c r="U49" s="57">
        <v>12.997836567654314</v>
      </c>
      <c r="V49" s="57">
        <v>12.638689480805343</v>
      </c>
      <c r="W49" s="57">
        <v>12.443229639130999</v>
      </c>
      <c r="X49" s="57">
        <v>12.357935767813942</v>
      </c>
      <c r="Y49" s="57">
        <v>12.295455034883592</v>
      </c>
      <c r="Z49" s="57">
        <v>12.214770945898056</v>
      </c>
      <c r="AA49" s="57">
        <v>12.154458883137186</v>
      </c>
      <c r="AB49" s="57">
        <v>12.143205138199706</v>
      </c>
    </row>
    <row r="50" spans="1:28" ht="13.5">
      <c r="A50" s="168"/>
      <c r="B50" s="12"/>
      <c r="C50" s="12" t="s">
        <v>21</v>
      </c>
      <c r="D50" s="12"/>
      <c r="E50" s="12"/>
      <c r="F50" s="55">
        <v>10.373401534526854</v>
      </c>
      <c r="G50" s="55">
        <v>11.128668352280426</v>
      </c>
      <c r="H50" s="55">
        <v>11.142586016219582</v>
      </c>
      <c r="I50" s="55">
        <v>10.908597185118241</v>
      </c>
      <c r="J50" s="55">
        <v>10.470158597955722</v>
      </c>
      <c r="K50" s="55">
        <v>10.265268785657936</v>
      </c>
      <c r="L50" s="55">
        <v>10.373961316004179</v>
      </c>
      <c r="M50" s="55">
        <v>10.351810466567038</v>
      </c>
      <c r="N50" s="55">
        <v>10.067339118674631</v>
      </c>
      <c r="O50" s="55">
        <v>9.6160385378294126</v>
      </c>
      <c r="P50" s="55">
        <v>9.4637085341650131</v>
      </c>
      <c r="Q50" s="55">
        <v>9.6715317919075137</v>
      </c>
      <c r="R50" s="55">
        <v>9.8593061674008808</v>
      </c>
      <c r="S50" s="55">
        <v>10.89005608121953</v>
      </c>
      <c r="T50" s="55">
        <v>12.537339632123974</v>
      </c>
      <c r="U50" s="55">
        <v>11.605468741526671</v>
      </c>
      <c r="V50" s="55">
        <v>10.674421300115828</v>
      </c>
      <c r="W50" s="55">
        <v>10.294173745398551</v>
      </c>
      <c r="X50" s="55">
        <v>9.8585675689162322</v>
      </c>
      <c r="Y50" s="55">
        <v>10.076654608041563</v>
      </c>
      <c r="Z50" s="55">
        <v>11.098085173552409</v>
      </c>
      <c r="AA50" s="55">
        <v>11.197695564903297</v>
      </c>
      <c r="AB50" s="55">
        <v>11.087405918429573</v>
      </c>
    </row>
    <row r="51" spans="1:28" ht="13.5">
      <c r="A51" s="168"/>
      <c r="B51" s="12"/>
      <c r="C51" s="12"/>
      <c r="D51" s="12" t="s">
        <v>23</v>
      </c>
      <c r="E51" s="12"/>
      <c r="F51" s="55">
        <v>9.5589274852455244</v>
      </c>
      <c r="G51" s="55">
        <v>10.430987187248856</v>
      </c>
      <c r="H51" s="55">
        <v>10.477691573621858</v>
      </c>
      <c r="I51" s="55">
        <v>10.087211726483401</v>
      </c>
      <c r="J51" s="55">
        <v>9.6450114638447975</v>
      </c>
      <c r="K51" s="55">
        <v>9.3437058138412024</v>
      </c>
      <c r="L51" s="55">
        <v>9.4633953740654082</v>
      </c>
      <c r="M51" s="55">
        <v>9.4895294723284085</v>
      </c>
      <c r="N51" s="55">
        <v>9.2589232976120162</v>
      </c>
      <c r="O51" s="55">
        <v>8.860131255127154</v>
      </c>
      <c r="P51" s="55">
        <v>8.6726654669066185</v>
      </c>
      <c r="Q51" s="55">
        <v>8.897789495031434</v>
      </c>
      <c r="R51" s="55">
        <v>9.0909262048192776</v>
      </c>
      <c r="S51" s="55">
        <v>10.053991303130168</v>
      </c>
      <c r="T51" s="55">
        <v>12.728805298953603</v>
      </c>
      <c r="U51" s="55">
        <v>11.686183732165139</v>
      </c>
      <c r="V51" s="55">
        <v>10.728802814065768</v>
      </c>
      <c r="W51" s="55">
        <v>10.321202648116095</v>
      </c>
      <c r="X51" s="55">
        <v>9.9435664332992424</v>
      </c>
      <c r="Y51" s="55">
        <v>10.179460906076068</v>
      </c>
      <c r="Z51" s="55">
        <v>11.234531505966222</v>
      </c>
      <c r="AA51" s="55">
        <v>11.321797897089738</v>
      </c>
      <c r="AB51" s="55">
        <v>11.181828235128217</v>
      </c>
    </row>
    <row r="52" spans="1:28" ht="13.5">
      <c r="A52" s="168"/>
      <c r="B52" s="12"/>
      <c r="C52" s="12"/>
      <c r="D52" s="12" t="s">
        <v>24</v>
      </c>
      <c r="E52" s="12"/>
      <c r="F52" s="55">
        <v>11.715283984724142</v>
      </c>
      <c r="G52" s="55">
        <v>12.185139165009941</v>
      </c>
      <c r="H52" s="55">
        <v>12.175790285273708</v>
      </c>
      <c r="I52" s="55">
        <v>12.157000500582564</v>
      </c>
      <c r="J52" s="55">
        <v>11.726259686397206</v>
      </c>
      <c r="K52" s="55">
        <v>11.61273855440122</v>
      </c>
      <c r="L52" s="55">
        <v>11.648207519673564</v>
      </c>
      <c r="M52" s="55">
        <v>12.049462917058438</v>
      </c>
      <c r="N52" s="55">
        <v>11.69253604749788</v>
      </c>
      <c r="O52" s="55">
        <v>11.305224564619616</v>
      </c>
      <c r="P52" s="55">
        <v>11.390647832440331</v>
      </c>
      <c r="Q52" s="55">
        <v>11.589743589743589</v>
      </c>
      <c r="R52" s="55">
        <v>11.95030737704918</v>
      </c>
      <c r="S52" s="55">
        <v>13.933460248390897</v>
      </c>
      <c r="T52" s="55">
        <v>9.9459033843192728</v>
      </c>
      <c r="U52" s="55">
        <v>10.39197250181112</v>
      </c>
      <c r="V52" s="55">
        <v>9.9370298833246977</v>
      </c>
      <c r="W52" s="55">
        <v>9.9352157837908592</v>
      </c>
      <c r="X52" s="55">
        <v>8.6774153584765408</v>
      </c>
      <c r="Y52" s="55">
        <v>8.6941891149956607</v>
      </c>
      <c r="Z52" s="55">
        <v>8.8457983589873557</v>
      </c>
      <c r="AA52" s="55">
        <v>8.8364293085655312</v>
      </c>
      <c r="AB52" s="55">
        <v>8.9110779742917003</v>
      </c>
    </row>
    <row r="53" spans="1:28" ht="13.5">
      <c r="A53" s="168"/>
      <c r="B53" s="12"/>
      <c r="C53" s="12" t="s">
        <v>25</v>
      </c>
      <c r="D53" s="12"/>
      <c r="E53" s="12"/>
      <c r="F53" s="55">
        <v>16.266666666666666</v>
      </c>
      <c r="G53" s="55">
        <v>17.11904761904762</v>
      </c>
      <c r="H53" s="55">
        <v>16.65012406947891</v>
      </c>
      <c r="I53" s="55">
        <v>17.100000000000001</v>
      </c>
      <c r="J53" s="55">
        <v>15.365853658536585</v>
      </c>
      <c r="K53" s="55">
        <v>14.128205128205128</v>
      </c>
      <c r="L53" s="55">
        <v>14.939393939393939</v>
      </c>
      <c r="M53" s="55">
        <v>16.555555555555557</v>
      </c>
      <c r="N53" s="55">
        <v>14.805555555555555</v>
      </c>
      <c r="O53" s="55">
        <v>14.147058823529411</v>
      </c>
      <c r="P53" s="55">
        <v>13.774193548387096</v>
      </c>
      <c r="Q53" s="55">
        <v>13.846153846153847</v>
      </c>
      <c r="R53" s="55">
        <v>13.545454545454545</v>
      </c>
      <c r="S53" s="55">
        <v>12.310902451747522</v>
      </c>
      <c r="T53" s="55">
        <v>11.036036036036036</v>
      </c>
      <c r="U53" s="55">
        <v>10.137457044673539</v>
      </c>
      <c r="V53" s="55">
        <v>10.714285714285714</v>
      </c>
      <c r="W53" s="55">
        <v>8.717948717948719</v>
      </c>
      <c r="X53" s="55">
        <v>9.3333333333333339</v>
      </c>
      <c r="Y53" s="55">
        <v>10.891089108910892</v>
      </c>
      <c r="Z53" s="55">
        <v>18.10278764857328</v>
      </c>
      <c r="AA53" s="55">
        <v>0</v>
      </c>
      <c r="AB53" s="55">
        <v>14.093959731543624</v>
      </c>
    </row>
    <row r="54" spans="1:28" ht="13.5">
      <c r="A54" s="168"/>
      <c r="B54" s="12"/>
      <c r="C54" s="12" t="s">
        <v>26</v>
      </c>
      <c r="D54" s="12"/>
      <c r="E54" s="12"/>
      <c r="F54" s="55">
        <v>13.86401964268407</v>
      </c>
      <c r="G54" s="55">
        <v>14.35044841555799</v>
      </c>
      <c r="H54" s="55">
        <v>14.549281250528287</v>
      </c>
      <c r="I54" s="55">
        <v>14.570126755924758</v>
      </c>
      <c r="J54" s="55">
        <v>14.358053633585822</v>
      </c>
      <c r="K54" s="55">
        <v>14.077119380689894</v>
      </c>
      <c r="L54" s="55">
        <v>14.230209434423941</v>
      </c>
      <c r="M54" s="55">
        <v>13.785979410322852</v>
      </c>
      <c r="N54" s="55">
        <v>13.473909787566562</v>
      </c>
      <c r="O54" s="55">
        <v>13.08374184453546</v>
      </c>
      <c r="P54" s="55">
        <v>13.025731807548841</v>
      </c>
      <c r="Q54" s="55">
        <v>12.998522895125554</v>
      </c>
      <c r="R54" s="55">
        <v>13.091826338449403</v>
      </c>
      <c r="S54" s="55">
        <v>13.004580207341945</v>
      </c>
      <c r="T54" s="55">
        <v>13.054405158568263</v>
      </c>
      <c r="U54" s="55">
        <v>12.936497152151988</v>
      </c>
      <c r="V54" s="55">
        <v>12.731576266262516</v>
      </c>
      <c r="W54" s="55">
        <v>12.583114018914847</v>
      </c>
      <c r="X54" s="55">
        <v>12.536772575163535</v>
      </c>
      <c r="Y54" s="55">
        <v>12.278183006497173</v>
      </c>
      <c r="Z54" s="55">
        <v>12.019200836302304</v>
      </c>
      <c r="AA54" s="55">
        <v>12.088468098584556</v>
      </c>
      <c r="AB54" s="55">
        <v>12.41783443264425</v>
      </c>
    </row>
    <row r="55" spans="1:28" ht="13.5">
      <c r="A55" s="168"/>
      <c r="B55" s="12"/>
      <c r="C55" s="12" t="s">
        <v>27</v>
      </c>
      <c r="D55" s="12"/>
      <c r="E55" s="12"/>
      <c r="F55" s="55">
        <v>14.088737201365188</v>
      </c>
      <c r="G55" s="55">
        <v>13.935384615384615</v>
      </c>
      <c r="H55" s="55">
        <v>14.458575108318568</v>
      </c>
      <c r="I55" s="55">
        <v>14.191188694929343</v>
      </c>
      <c r="J55" s="55">
        <v>13.42824074074074</v>
      </c>
      <c r="K55" s="55">
        <v>13.377606177606177</v>
      </c>
      <c r="L55" s="55">
        <v>13.997683397683398</v>
      </c>
      <c r="M55" s="55">
        <v>14.478380233356212</v>
      </c>
      <c r="N55" s="55">
        <v>13.894122079879427</v>
      </c>
      <c r="O55" s="55">
        <v>13.47406513872135</v>
      </c>
      <c r="P55" s="55">
        <v>12.577153110047847</v>
      </c>
      <c r="Q55" s="55">
        <v>12.481642812694462</v>
      </c>
      <c r="R55" s="55">
        <v>12.078095238095239</v>
      </c>
      <c r="S55" s="55">
        <v>12.041313374618134</v>
      </c>
      <c r="T55" s="55">
        <v>11.465143945331095</v>
      </c>
      <c r="U55" s="55">
        <v>11.245814278341964</v>
      </c>
      <c r="V55" s="55">
        <v>10.790533540771939</v>
      </c>
      <c r="W55" s="55">
        <v>10.430795233004137</v>
      </c>
      <c r="X55" s="55">
        <v>10.403022428490608</v>
      </c>
      <c r="Y55" s="55">
        <v>10.72232825391055</v>
      </c>
      <c r="Z55" s="55">
        <v>10.254278015275078</v>
      </c>
      <c r="AA55" s="55">
        <v>9.5186103065296717</v>
      </c>
      <c r="AB55" s="55">
        <v>9.2186442367974095</v>
      </c>
    </row>
    <row r="56" spans="1:28" ht="13.5">
      <c r="A56" s="168"/>
      <c r="B56" s="12"/>
      <c r="C56" s="12" t="s">
        <v>28</v>
      </c>
      <c r="D56" s="12"/>
      <c r="E56" s="12"/>
      <c r="F56" s="55">
        <v>13.621185592796397</v>
      </c>
      <c r="G56" s="55">
        <v>13.779623730222468</v>
      </c>
      <c r="H56" s="55">
        <v>12.995575221238939</v>
      </c>
      <c r="I56" s="55">
        <v>13.847939347474941</v>
      </c>
      <c r="J56" s="55">
        <v>13.688392423673177</v>
      </c>
      <c r="K56" s="55">
        <v>13.463230141180818</v>
      </c>
      <c r="L56" s="55">
        <v>13.951014125316915</v>
      </c>
      <c r="M56" s="55">
        <v>13.527463451599443</v>
      </c>
      <c r="N56" s="55">
        <v>13.301131411535673</v>
      </c>
      <c r="O56" s="55">
        <v>13.058835324212772</v>
      </c>
      <c r="P56" s="55">
        <v>12.872598659717051</v>
      </c>
      <c r="Q56" s="55">
        <v>12.863895216400911</v>
      </c>
      <c r="R56" s="55">
        <v>12.953426525741561</v>
      </c>
      <c r="S56" s="55">
        <v>12.989743785576897</v>
      </c>
      <c r="T56" s="55">
        <v>12.802169733476507</v>
      </c>
      <c r="U56" s="55">
        <v>12.498476116295141</v>
      </c>
      <c r="V56" s="55">
        <v>12.103676238387591</v>
      </c>
      <c r="W56" s="55">
        <v>11.915934388480036</v>
      </c>
      <c r="X56" s="55">
        <v>11.826238199487142</v>
      </c>
      <c r="Y56" s="55">
        <v>11.839680802427232</v>
      </c>
      <c r="Z56" s="55">
        <v>11.657072118884662</v>
      </c>
      <c r="AA56" s="55">
        <v>11.391421424407662</v>
      </c>
      <c r="AB56" s="55">
        <v>11.298031636474947</v>
      </c>
    </row>
    <row r="57" spans="1:28" ht="13.5">
      <c r="A57" s="168"/>
      <c r="B57" s="12"/>
      <c r="C57" s="12" t="s">
        <v>29</v>
      </c>
      <c r="D57" s="12"/>
      <c r="E57" s="12"/>
      <c r="F57" s="55">
        <v>16.946609204385592</v>
      </c>
      <c r="G57" s="55">
        <v>17.457918044819976</v>
      </c>
      <c r="H57" s="55">
        <v>17.670420025112399</v>
      </c>
      <c r="I57" s="55">
        <v>17.462538834838618</v>
      </c>
      <c r="J57" s="55">
        <v>17.315733354809137</v>
      </c>
      <c r="K57" s="55">
        <v>16.769586248759452</v>
      </c>
      <c r="L57" s="55">
        <v>17.125568698817105</v>
      </c>
      <c r="M57" s="55">
        <v>17.605875868013815</v>
      </c>
      <c r="N57" s="55">
        <v>16.926287942555785</v>
      </c>
      <c r="O57" s="55">
        <v>16.472209308755716</v>
      </c>
      <c r="P57" s="55">
        <v>15.911510425495846</v>
      </c>
      <c r="Q57" s="55">
        <v>16.005571500928582</v>
      </c>
      <c r="R57" s="55">
        <v>15.86429512516469</v>
      </c>
      <c r="S57" s="55">
        <v>15.817003365788455</v>
      </c>
      <c r="T57" s="55">
        <v>16.040774323704408</v>
      </c>
      <c r="U57" s="55">
        <v>15.944496806582515</v>
      </c>
      <c r="V57" s="55">
        <v>15.274704594444046</v>
      </c>
      <c r="W57" s="55">
        <v>15.030959624063428</v>
      </c>
      <c r="X57" s="55">
        <v>14.951649502530982</v>
      </c>
      <c r="Y57" s="55">
        <v>15.03961283384119</v>
      </c>
      <c r="Z57" s="55">
        <v>14.549242424242424</v>
      </c>
      <c r="AA57" s="55">
        <v>14.437858896705384</v>
      </c>
      <c r="AB57" s="55">
        <v>14.211870892739427</v>
      </c>
    </row>
    <row r="58" spans="1:28" ht="13.5">
      <c r="A58" s="168"/>
      <c r="B58" s="12"/>
      <c r="C58" s="12" t="s">
        <v>30</v>
      </c>
      <c r="D58" s="12"/>
      <c r="E58" s="12"/>
      <c r="F58" s="55">
        <v>13.822790247378414</v>
      </c>
      <c r="G58" s="55">
        <v>14.113596524042297</v>
      </c>
      <c r="H58" s="55">
        <v>14.370216840326668</v>
      </c>
      <c r="I58" s="55">
        <v>14.663217497974363</v>
      </c>
      <c r="J58" s="55">
        <v>14.32070444204393</v>
      </c>
      <c r="K58" s="55">
        <v>14.398034074146194</v>
      </c>
      <c r="L58" s="55">
        <v>14.839619155936603</v>
      </c>
      <c r="M58" s="55">
        <v>15.202603439224537</v>
      </c>
      <c r="N58" s="55">
        <v>15.1439428683745</v>
      </c>
      <c r="O58" s="55">
        <v>14.961477135614199</v>
      </c>
      <c r="P58" s="55">
        <v>14.742352798936041</v>
      </c>
      <c r="Q58" s="55">
        <v>14.763151714419916</v>
      </c>
      <c r="R58" s="55">
        <v>14.724988473951129</v>
      </c>
      <c r="S58" s="55">
        <v>14.569820795184542</v>
      </c>
      <c r="T58" s="55">
        <v>14.55666855320843</v>
      </c>
      <c r="U58" s="55">
        <v>14.898300889276641</v>
      </c>
      <c r="V58" s="55">
        <v>14.73705320978245</v>
      </c>
      <c r="W58" s="55">
        <v>14.504357903139342</v>
      </c>
      <c r="X58" s="55">
        <v>14.471794023526718</v>
      </c>
      <c r="Y58" s="55">
        <v>14.602286307075042</v>
      </c>
      <c r="Z58" s="55">
        <v>14.418849884029546</v>
      </c>
      <c r="AA58" s="55">
        <v>14.354545187776374</v>
      </c>
      <c r="AB58" s="55">
        <v>13.857802100006429</v>
      </c>
    </row>
    <row r="59" spans="1:28" ht="13.5">
      <c r="A59" s="168"/>
      <c r="B59" s="13"/>
      <c r="C59" s="13" t="s">
        <v>31</v>
      </c>
      <c r="D59" s="13"/>
      <c r="E59" s="13"/>
      <c r="F59" s="55">
        <v>7.6662995594713657</v>
      </c>
      <c r="G59" s="55">
        <v>7.653390742734123</v>
      </c>
      <c r="H59" s="55">
        <v>8.0232044198895025</v>
      </c>
      <c r="I59" s="55">
        <v>7.6814254859611228</v>
      </c>
      <c r="J59" s="55">
        <v>7.8815931108719051</v>
      </c>
      <c r="K59" s="55">
        <v>7.8398268398268396</v>
      </c>
      <c r="L59" s="55">
        <v>7.9331026528258359</v>
      </c>
      <c r="M59" s="55">
        <v>8.1264108352144468</v>
      </c>
      <c r="N59" s="55">
        <v>8.0043763676148796</v>
      </c>
      <c r="O59" s="55">
        <v>8.0398277717976327</v>
      </c>
      <c r="P59" s="55">
        <v>7.8201219512195124</v>
      </c>
      <c r="Q59" s="55">
        <v>7.6320845341018249</v>
      </c>
      <c r="R59" s="55">
        <v>7.2911737943585075</v>
      </c>
      <c r="S59" s="55">
        <v>7.2297417631344612</v>
      </c>
      <c r="T59" s="55">
        <v>7.2995633187772926</v>
      </c>
      <c r="U59" s="55">
        <v>7.2620865139949107</v>
      </c>
      <c r="V59" s="55">
        <v>7.3352601156069364</v>
      </c>
      <c r="W59" s="55">
        <v>7.3395613322502031</v>
      </c>
      <c r="X59" s="55">
        <v>7.5011895321173672</v>
      </c>
      <c r="Y59" s="55">
        <v>7.3510716925351067</v>
      </c>
      <c r="Z59" s="55">
        <v>9.5149147727272734</v>
      </c>
      <c r="AA59" s="55">
        <v>9.6789366053169736</v>
      </c>
      <c r="AB59" s="55">
        <v>9.3531444367657226</v>
      </c>
    </row>
    <row r="60" spans="1:28" ht="13.5">
      <c r="A60" s="168"/>
      <c r="B60" s="16" t="s">
        <v>130</v>
      </c>
      <c r="C60" s="16"/>
      <c r="D60" s="16"/>
      <c r="E60" s="16"/>
      <c r="F60" s="57">
        <v>36.947620063421297</v>
      </c>
      <c r="G60" s="57">
        <v>36.937815048621644</v>
      </c>
      <c r="H60" s="57">
        <v>37.681300781850219</v>
      </c>
      <c r="I60" s="57">
        <v>37.508195402282531</v>
      </c>
      <c r="J60" s="57">
        <v>37.678324967264231</v>
      </c>
      <c r="K60" s="57">
        <v>37.600019099995457</v>
      </c>
      <c r="L60" s="57">
        <v>37.696617603365532</v>
      </c>
      <c r="M60" s="57">
        <v>37.013495257178967</v>
      </c>
      <c r="N60" s="57">
        <v>35.994935181403825</v>
      </c>
      <c r="O60" s="57">
        <v>35.291359926619791</v>
      </c>
      <c r="P60" s="57">
        <v>34.428438160786101</v>
      </c>
      <c r="Q60" s="57">
        <v>33.906794298199976</v>
      </c>
      <c r="R60" s="57">
        <v>33.629178177523777</v>
      </c>
      <c r="S60" s="57">
        <v>33.776735291025176</v>
      </c>
      <c r="T60" s="57">
        <v>33.12669485829398</v>
      </c>
      <c r="U60" s="57">
        <v>32.988879187337105</v>
      </c>
      <c r="V60" s="57">
        <v>32.536577161864912</v>
      </c>
      <c r="W60" s="57">
        <v>32.157241285415317</v>
      </c>
      <c r="X60" s="57">
        <v>31.317431635348314</v>
      </c>
      <c r="Y60" s="57">
        <v>31.36210519208754</v>
      </c>
      <c r="Z60" s="57">
        <v>30.649930290764985</v>
      </c>
      <c r="AA60" s="57">
        <v>30.601852583524373</v>
      </c>
      <c r="AB60" s="57">
        <v>30.907997091299542</v>
      </c>
    </row>
    <row r="61" spans="1:28" ht="13.5">
      <c r="A61" s="168"/>
      <c r="B61" s="12"/>
      <c r="C61" s="12" t="s">
        <v>21</v>
      </c>
      <c r="D61" s="12"/>
      <c r="E61" s="12"/>
      <c r="F61" s="55">
        <v>37.767303591047153</v>
      </c>
      <c r="G61" s="55">
        <v>37.757600757327012</v>
      </c>
      <c r="H61" s="55">
        <v>38.537714390607917</v>
      </c>
      <c r="I61" s="55">
        <v>38.366997769872185</v>
      </c>
      <c r="J61" s="55">
        <v>38.57954953656364</v>
      </c>
      <c r="K61" s="55">
        <v>38.555491267978773</v>
      </c>
      <c r="L61" s="55">
        <v>38.694412744516427</v>
      </c>
      <c r="M61" s="55">
        <v>37.865770315931918</v>
      </c>
      <c r="N61" s="55">
        <v>36.852545045861582</v>
      </c>
      <c r="O61" s="55">
        <v>36.153472828862526</v>
      </c>
      <c r="P61" s="55">
        <v>35.292676173335181</v>
      </c>
      <c r="Q61" s="55">
        <v>34.845433965786832</v>
      </c>
      <c r="R61" s="55">
        <v>34.622597983257229</v>
      </c>
      <c r="S61" s="55">
        <v>34.838474370754724</v>
      </c>
      <c r="T61" s="55">
        <v>34.363991755262617</v>
      </c>
      <c r="U61" s="55">
        <v>34.730698460354105</v>
      </c>
      <c r="V61" s="55">
        <v>34.35144018137661</v>
      </c>
      <c r="W61" s="55">
        <v>34.056638208595295</v>
      </c>
      <c r="X61" s="55">
        <v>33.274014965516315</v>
      </c>
      <c r="Y61" s="55">
        <v>33.437866689079179</v>
      </c>
      <c r="Z61" s="55">
        <v>32.811146257481319</v>
      </c>
      <c r="AA61" s="55">
        <v>32.861211335604779</v>
      </c>
      <c r="AB61" s="55">
        <v>33.053388814849122</v>
      </c>
    </row>
    <row r="62" spans="1:28" ht="13.5">
      <c r="A62" s="168"/>
      <c r="B62" s="12"/>
      <c r="C62" s="12"/>
      <c r="D62" s="12" t="s">
        <v>22</v>
      </c>
      <c r="E62" s="12"/>
      <c r="F62" s="55">
        <v>37.839118854248539</v>
      </c>
      <c r="G62" s="55">
        <v>37.833228795322846</v>
      </c>
      <c r="H62" s="55">
        <v>38.543488103371011</v>
      </c>
      <c r="I62" s="55">
        <v>38.411936769201688</v>
      </c>
      <c r="J62" s="55">
        <v>38.662762917446919</v>
      </c>
      <c r="K62" s="55">
        <v>38.640414258937888</v>
      </c>
      <c r="L62" s="55">
        <v>38.802007421113345</v>
      </c>
      <c r="M62" s="55">
        <v>37.942248501538963</v>
      </c>
      <c r="N62" s="55">
        <v>36.942626019155092</v>
      </c>
      <c r="O62" s="55">
        <v>36.226549462847224</v>
      </c>
      <c r="P62" s="55">
        <v>35.372061178545735</v>
      </c>
      <c r="Q62" s="55">
        <v>34.916027130418456</v>
      </c>
      <c r="R62" s="55">
        <v>34.681927941281948</v>
      </c>
      <c r="S62" s="55">
        <v>34.888828168637851</v>
      </c>
      <c r="T62" s="55">
        <v>34.386937577966727</v>
      </c>
      <c r="U62" s="55">
        <v>34.765911767499617</v>
      </c>
      <c r="V62" s="55">
        <v>34.386066219158387</v>
      </c>
      <c r="W62" s="55">
        <v>34.108794339578324</v>
      </c>
      <c r="X62" s="55">
        <v>33.317550036040437</v>
      </c>
      <c r="Y62" s="55">
        <v>33.484150600555985</v>
      </c>
      <c r="Z62" s="55">
        <v>32.843353524446954</v>
      </c>
      <c r="AA62" s="55">
        <v>32.889362310178861</v>
      </c>
      <c r="AB62" s="55">
        <v>33.08407131900745</v>
      </c>
    </row>
    <row r="63" spans="1:28" ht="13.5">
      <c r="A63" s="168"/>
      <c r="B63" s="12"/>
      <c r="C63" s="12"/>
      <c r="D63" s="12" t="s">
        <v>23</v>
      </c>
      <c r="E63" s="12"/>
      <c r="F63" s="55">
        <v>32.435980551053483</v>
      </c>
      <c r="G63" s="55">
        <v>31.032397511660349</v>
      </c>
      <c r="H63" s="55">
        <v>37.984547461368656</v>
      </c>
      <c r="I63" s="55">
        <v>34.280598272593217</v>
      </c>
      <c r="J63" s="55">
        <v>30.426303854875282</v>
      </c>
      <c r="K63" s="55">
        <v>29.370731707317074</v>
      </c>
      <c r="L63" s="55">
        <v>26.029023746701846</v>
      </c>
      <c r="M63" s="55">
        <v>27.328807464583523</v>
      </c>
      <c r="N63" s="55">
        <v>24.596273291925467</v>
      </c>
      <c r="O63" s="55">
        <v>23.329268292682926</v>
      </c>
      <c r="P63" s="55">
        <v>21.665338645418327</v>
      </c>
      <c r="Q63" s="55">
        <v>22.3125</v>
      </c>
      <c r="R63" s="55">
        <v>23.393665158371039</v>
      </c>
      <c r="S63" s="55">
        <v>24.742991972310911</v>
      </c>
      <c r="T63" s="55">
        <v>28.971322266978241</v>
      </c>
      <c r="U63" s="55">
        <v>27.540542949061493</v>
      </c>
      <c r="V63" s="55">
        <v>27.114043335637689</v>
      </c>
      <c r="W63" s="55">
        <v>24.325545193337991</v>
      </c>
      <c r="X63" s="55">
        <v>25.762711864406779</v>
      </c>
      <c r="Y63" s="55">
        <v>25.508620689655171</v>
      </c>
      <c r="Z63" s="55">
        <v>26.990825688073393</v>
      </c>
      <c r="AA63" s="55">
        <v>27.778953378407255</v>
      </c>
      <c r="AB63" s="55">
        <v>27.89068618418456</v>
      </c>
    </row>
    <row r="64" spans="1:28" ht="13.5">
      <c r="A64" s="168"/>
      <c r="B64" s="12"/>
      <c r="C64" s="12" t="s">
        <v>25</v>
      </c>
      <c r="D64" s="12"/>
      <c r="E64" s="12"/>
      <c r="F64" s="55">
        <v>0</v>
      </c>
      <c r="G64" s="55">
        <v>0</v>
      </c>
      <c r="H64" s="55">
        <v>0</v>
      </c>
      <c r="I64" s="55">
        <v>0</v>
      </c>
      <c r="J64" s="55">
        <v>0</v>
      </c>
      <c r="K64" s="55">
        <v>0</v>
      </c>
      <c r="L64" s="55">
        <v>0</v>
      </c>
      <c r="M64" s="55">
        <v>0</v>
      </c>
      <c r="N64" s="55">
        <v>0</v>
      </c>
      <c r="O64" s="55">
        <v>0</v>
      </c>
      <c r="P64" s="55">
        <v>0</v>
      </c>
      <c r="Q64" s="55">
        <v>0</v>
      </c>
      <c r="R64" s="55">
        <v>0</v>
      </c>
      <c r="S64" s="55">
        <v>0</v>
      </c>
      <c r="T64" s="55">
        <v>0</v>
      </c>
      <c r="U64" s="55">
        <v>0</v>
      </c>
      <c r="V64" s="55">
        <v>0</v>
      </c>
      <c r="W64" s="55">
        <v>0</v>
      </c>
      <c r="X64" s="55">
        <v>0</v>
      </c>
      <c r="Y64" s="55">
        <v>0</v>
      </c>
      <c r="Z64" s="55">
        <v>0</v>
      </c>
      <c r="AA64" s="55">
        <v>0</v>
      </c>
      <c r="AB64" s="55">
        <v>0</v>
      </c>
    </row>
    <row r="65" spans="1:28" ht="13.5">
      <c r="A65" s="168"/>
      <c r="B65" s="12"/>
      <c r="C65" s="12" t="s">
        <v>26</v>
      </c>
      <c r="D65" s="12"/>
      <c r="E65" s="12"/>
      <c r="F65" s="55">
        <v>27.164512338425382</v>
      </c>
      <c r="G65" s="55">
        <v>26.378672470076168</v>
      </c>
      <c r="H65" s="55">
        <v>25.155908639523336</v>
      </c>
      <c r="I65" s="55">
        <v>25.392749244712991</v>
      </c>
      <c r="J65" s="55">
        <v>24.956653225806452</v>
      </c>
      <c r="K65" s="55">
        <v>24.233165829145729</v>
      </c>
      <c r="L65" s="55">
        <v>22.427221172022684</v>
      </c>
      <c r="M65" s="55">
        <v>24.167276529012025</v>
      </c>
      <c r="N65" s="55">
        <v>24.122359796067006</v>
      </c>
      <c r="O65" s="55">
        <v>24.023161085927342</v>
      </c>
      <c r="P65" s="55">
        <v>23.005550416281221</v>
      </c>
      <c r="Q65" s="55">
        <v>23.016564952048824</v>
      </c>
      <c r="R65" s="55">
        <v>22.124698310539017</v>
      </c>
      <c r="S65" s="55">
        <v>21.520586973837386</v>
      </c>
      <c r="T65" s="55">
        <v>20.693624227735807</v>
      </c>
      <c r="U65" s="55">
        <v>20.227731837404988</v>
      </c>
      <c r="V65" s="55">
        <v>19.850106017452642</v>
      </c>
      <c r="W65" s="55">
        <v>19.742623163915248</v>
      </c>
      <c r="X65" s="55">
        <v>17.683779941675891</v>
      </c>
      <c r="Y65" s="55">
        <v>17.789301878711409</v>
      </c>
      <c r="Z65" s="55">
        <v>15.959058936873488</v>
      </c>
      <c r="AA65" s="55">
        <v>16.490100413968719</v>
      </c>
      <c r="AB65" s="55">
        <v>17.593571145791103</v>
      </c>
    </row>
    <row r="66" spans="1:28" ht="13.5">
      <c r="A66" s="168"/>
      <c r="B66" s="12"/>
      <c r="C66" s="12" t="s">
        <v>27</v>
      </c>
      <c r="D66" s="12"/>
      <c r="E66" s="12"/>
      <c r="F66" s="55">
        <v>17.399999999999999</v>
      </c>
      <c r="G66" s="55">
        <v>17.399999999999999</v>
      </c>
      <c r="H66" s="55">
        <v>42.100760119160206</v>
      </c>
      <c r="I66" s="55">
        <v>55.514285714285712</v>
      </c>
      <c r="J66" s="55">
        <v>46.88095238095238</v>
      </c>
      <c r="K66" s="55">
        <v>48.2</v>
      </c>
      <c r="L66" s="55">
        <v>49.086956521739133</v>
      </c>
      <c r="M66" s="55">
        <v>49.365384615384613</v>
      </c>
      <c r="N66" s="55">
        <v>47.055555555555557</v>
      </c>
      <c r="O66" s="55">
        <v>45.811320754716981</v>
      </c>
      <c r="P66" s="55">
        <v>43.34</v>
      </c>
      <c r="Q66" s="55">
        <v>39.5</v>
      </c>
      <c r="R66" s="55">
        <v>37.543478260869563</v>
      </c>
      <c r="S66" s="55">
        <v>41.487804878048777</v>
      </c>
      <c r="T66" s="55">
        <v>36.783783783783782</v>
      </c>
      <c r="U66" s="55">
        <v>37.352941176470587</v>
      </c>
      <c r="V66" s="55">
        <v>33.083333333333336</v>
      </c>
      <c r="W66" s="55">
        <v>30.357142857142858</v>
      </c>
      <c r="X66" s="55">
        <v>19.73076923076923</v>
      </c>
      <c r="Y66" s="55">
        <v>19.846153846153847</v>
      </c>
      <c r="Z66" s="55">
        <v>14.030303030303031</v>
      </c>
      <c r="AA66" s="55">
        <v>22.388888888888889</v>
      </c>
      <c r="AB66" s="55">
        <v>20.117647058823529</v>
      </c>
    </row>
    <row r="67" spans="1:28" ht="13.5">
      <c r="A67" s="168"/>
      <c r="B67" s="12"/>
      <c r="C67" s="12" t="s">
        <v>29</v>
      </c>
      <c r="D67" s="12"/>
      <c r="E67" s="12"/>
      <c r="F67" s="55">
        <v>27.473474199691665</v>
      </c>
      <c r="G67" s="55">
        <v>27.758333333333333</v>
      </c>
      <c r="H67" s="55">
        <v>28.486742741467889</v>
      </c>
      <c r="I67" s="55">
        <v>28.68133664845605</v>
      </c>
      <c r="J67" s="55">
        <v>29.193049455795304</v>
      </c>
      <c r="K67" s="55">
        <v>28.40211353475139</v>
      </c>
      <c r="L67" s="55">
        <v>28.690442225392296</v>
      </c>
      <c r="M67" s="55">
        <v>28.48608590441621</v>
      </c>
      <c r="N67" s="55">
        <v>27.340256647704724</v>
      </c>
      <c r="O67" s="55">
        <v>26.768871075484302</v>
      </c>
      <c r="P67" s="55">
        <v>26.486202365308806</v>
      </c>
      <c r="Q67" s="55">
        <v>25.938813349814588</v>
      </c>
      <c r="R67" s="55">
        <v>25.823178016726406</v>
      </c>
      <c r="S67" s="55">
        <v>24.995263581679531</v>
      </c>
      <c r="T67" s="55">
        <v>22.263744941350375</v>
      </c>
      <c r="U67" s="55">
        <v>20.918024439918533</v>
      </c>
      <c r="V67" s="55">
        <v>19.54491017964072</v>
      </c>
      <c r="W67" s="55">
        <v>19.013762754715426</v>
      </c>
      <c r="X67" s="55">
        <v>18.743746809596733</v>
      </c>
      <c r="Y67" s="55">
        <v>18.129541108986615</v>
      </c>
      <c r="Z67" s="55">
        <v>18.103004291845494</v>
      </c>
      <c r="AA67" s="55">
        <v>17.370041612402233</v>
      </c>
      <c r="AB67" s="55">
        <v>17.672836157582246</v>
      </c>
    </row>
    <row r="68" spans="1:28" ht="13.5">
      <c r="A68" s="168"/>
      <c r="B68" s="12"/>
      <c r="C68" s="12" t="s">
        <v>30</v>
      </c>
      <c r="D68" s="12"/>
      <c r="E68" s="12"/>
      <c r="F68" s="55">
        <v>27.776600369257217</v>
      </c>
      <c r="G68" s="55">
        <v>29.227183338861774</v>
      </c>
      <c r="H68" s="55">
        <v>30.514861253854058</v>
      </c>
      <c r="I68" s="55">
        <v>29.566435612435988</v>
      </c>
      <c r="J68" s="55">
        <v>28.791597911885091</v>
      </c>
      <c r="K68" s="55">
        <v>28.031876133898354</v>
      </c>
      <c r="L68" s="55">
        <v>29.052437593231229</v>
      </c>
      <c r="M68" s="55">
        <v>30.117622781675607</v>
      </c>
      <c r="N68" s="55">
        <v>29.540263831462887</v>
      </c>
      <c r="O68" s="55">
        <v>29.083019488933321</v>
      </c>
      <c r="P68" s="55">
        <v>28.79745106964042</v>
      </c>
      <c r="Q68" s="55">
        <v>28.000858369098712</v>
      </c>
      <c r="R68" s="55">
        <v>27.834675710046628</v>
      </c>
      <c r="S68" s="55">
        <v>28.470750341183855</v>
      </c>
      <c r="T68" s="55">
        <v>27.801823653419483</v>
      </c>
      <c r="U68" s="55">
        <v>22.704060547036438</v>
      </c>
      <c r="V68" s="55">
        <v>22.162484025642545</v>
      </c>
      <c r="W68" s="55">
        <v>21.369682782733829</v>
      </c>
      <c r="X68" s="55">
        <v>21.294533221194282</v>
      </c>
      <c r="Y68" s="55">
        <v>20.931884221272991</v>
      </c>
      <c r="Z68" s="55">
        <v>19.79215176247104</v>
      </c>
      <c r="AA68" s="55">
        <v>18.591630297274126</v>
      </c>
      <c r="AB68" s="55">
        <v>19.314322153725264</v>
      </c>
    </row>
    <row r="69" spans="1:28" ht="13.5">
      <c r="A69" s="168"/>
      <c r="B69" s="13"/>
      <c r="C69" s="13" t="s">
        <v>31</v>
      </c>
      <c r="D69" s="13"/>
      <c r="E69" s="13"/>
      <c r="F69" s="79">
        <v>12.043478260869565</v>
      </c>
      <c r="G69" s="79">
        <v>14.227272727272727</v>
      </c>
      <c r="H69" s="79">
        <v>13.666666666666666</v>
      </c>
      <c r="I69" s="79">
        <v>13.25</v>
      </c>
      <c r="J69" s="79">
        <v>13.380952380952381</v>
      </c>
      <c r="K69" s="79">
        <v>14.2</v>
      </c>
      <c r="L69" s="79">
        <v>13.956521739130435</v>
      </c>
      <c r="M69" s="79">
        <v>13.9375</v>
      </c>
      <c r="N69" s="79">
        <v>13.351351351351351</v>
      </c>
      <c r="O69" s="79">
        <v>12.408163265306122</v>
      </c>
      <c r="P69" s="79">
        <v>12.58</v>
      </c>
      <c r="Q69" s="79">
        <v>11.688524590163935</v>
      </c>
      <c r="R69" s="79">
        <v>14.959183673469388</v>
      </c>
      <c r="S69" s="79">
        <v>14.938775510204081</v>
      </c>
      <c r="T69" s="79">
        <v>11.23728813559322</v>
      </c>
      <c r="U69" s="79">
        <v>11.065573770491802</v>
      </c>
      <c r="V69" s="79">
        <v>10.508771929824562</v>
      </c>
      <c r="W69" s="79">
        <v>11.131147540983607</v>
      </c>
      <c r="X69" s="79">
        <v>11.315789473684211</v>
      </c>
      <c r="Y69" s="79">
        <v>11.666666666666666</v>
      </c>
      <c r="Z69" s="79">
        <v>13.175000000000001</v>
      </c>
      <c r="AA69" s="79">
        <v>12.923076923076923</v>
      </c>
      <c r="AB69" s="79">
        <v>11.209302325581396</v>
      </c>
    </row>
    <row r="70" spans="1:28" ht="13.5">
      <c r="A70" s="168"/>
      <c r="B70" s="171" t="s">
        <v>33</v>
      </c>
      <c r="C70" s="171"/>
      <c r="D70" s="171"/>
      <c r="E70" s="17" t="s">
        <v>180</v>
      </c>
      <c r="F70" s="17"/>
      <c r="G70" s="17"/>
      <c r="H70" s="17"/>
      <c r="I70" s="17"/>
      <c r="J70" s="17"/>
      <c r="K70" s="17"/>
    </row>
    <row r="71" spans="1:28" ht="25.5" customHeight="1">
      <c r="A71" s="153"/>
      <c r="B71" s="140"/>
      <c r="C71" s="140"/>
      <c r="D71" s="140"/>
      <c r="E71" s="167" t="s">
        <v>200</v>
      </c>
      <c r="F71" s="167"/>
      <c r="G71" s="167"/>
      <c r="H71" s="167"/>
      <c r="I71" s="167"/>
      <c r="J71" s="167"/>
      <c r="K71" s="167"/>
      <c r="L71" s="167"/>
      <c r="M71" s="167"/>
      <c r="N71" s="167"/>
      <c r="O71" s="167"/>
      <c r="P71" s="167"/>
      <c r="Q71" s="167"/>
      <c r="R71" s="167"/>
      <c r="S71" s="167"/>
      <c r="T71" s="167"/>
      <c r="U71" s="167"/>
      <c r="V71" s="167"/>
      <c r="W71" s="167"/>
      <c r="X71" s="167"/>
      <c r="Y71" s="167"/>
      <c r="Z71" s="167"/>
      <c r="AA71" s="167"/>
      <c r="AB71" s="167"/>
    </row>
    <row r="72" spans="1:28">
      <c r="E72" s="110" t="s">
        <v>189</v>
      </c>
      <c r="F72" s="110"/>
      <c r="G72" s="110"/>
      <c r="H72" s="110"/>
      <c r="I72" s="110"/>
      <c r="J72" s="110"/>
      <c r="K72" s="110"/>
      <c r="L72" s="110"/>
      <c r="M72" s="110"/>
      <c r="N72" s="110"/>
      <c r="O72" s="110"/>
      <c r="P72" s="110"/>
      <c r="Q72" s="140"/>
      <c r="R72" s="140"/>
      <c r="S72" s="140"/>
      <c r="T72" s="110"/>
      <c r="U72" s="110"/>
      <c r="V72" s="110"/>
      <c r="W72" s="110"/>
      <c r="X72" s="110"/>
      <c r="Y72" s="110"/>
      <c r="Z72" s="110"/>
      <c r="AA72" s="110"/>
    </row>
    <row r="73" spans="1:28">
      <c r="E73" s="15" t="s">
        <v>175</v>
      </c>
      <c r="F73" s="110"/>
      <c r="G73" s="110"/>
      <c r="H73" s="110"/>
      <c r="I73" s="110"/>
      <c r="J73" s="110"/>
    </row>
  </sheetData>
  <mergeCells count="6">
    <mergeCell ref="E71:AB71"/>
    <mergeCell ref="A1:A36"/>
    <mergeCell ref="A37:A70"/>
    <mergeCell ref="B1:E1"/>
    <mergeCell ref="B5:E5"/>
    <mergeCell ref="B70:D70"/>
  </mergeCells>
  <hyperlinks>
    <hyperlink ref="E71:AB71" location="Leer!Druckbereich" display="Ab 2024 gelten für die Schularten des Sek-I-Bereichs neue Bezeichnungen bzw. Zusätze. Zudem kommt es bei den Hauptschulen, Schularten mit zwei Bildungsgängen und Schularten mit drei Bildungsgängen zu Neuzuordnungen." xr:uid="{1717D638-CD7B-4CEE-9E02-3046398F10DA}"/>
  </hyperlinks>
  <printOptions verticalCentered="1"/>
  <pageMargins left="0.23622047244094491" right="0.23622047244094491" top="0.74803149606299213" bottom="0.74803149606299213" header="0.31496062992125984" footer="0.31496062992125984"/>
  <pageSetup paperSize="9" scale="94" orientation="landscape" r:id="rId1"/>
  <rowBreaks count="1" manualBreakCount="1">
    <brk id="36" max="20"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18"/>
  <dimension ref="A1:AB72"/>
  <sheetViews>
    <sheetView view="pageBreakPreview" topLeftCell="A58" zoomScale="140" zoomScaleNormal="110" zoomScaleSheetLayoutView="140" workbookViewId="0">
      <selection activeCell="J27" sqref="J27"/>
    </sheetView>
  </sheetViews>
  <sheetFormatPr baseColWidth="10" defaultColWidth="11.42578125" defaultRowHeight="12.75"/>
  <cols>
    <col min="1" max="1" width="2.7109375" style="3" customWidth="1"/>
    <col min="2" max="2" width="3.7109375" style="3" customWidth="1"/>
    <col min="3" max="4" width="2.7109375" style="3" customWidth="1"/>
    <col min="5" max="5" width="17.7109375" style="3" customWidth="1"/>
    <col min="6" max="22" width="6.7109375" style="3" customWidth="1"/>
    <col min="23" max="16384" width="11.42578125" style="3"/>
  </cols>
  <sheetData>
    <row r="1" spans="1:22">
      <c r="A1" s="168">
        <v>75</v>
      </c>
      <c r="B1" s="169" t="s">
        <v>0</v>
      </c>
      <c r="C1" s="169"/>
      <c r="D1" s="169"/>
      <c r="E1" s="169"/>
    </row>
    <row r="2" spans="1:22">
      <c r="A2" s="168"/>
      <c r="B2" s="4" t="s">
        <v>66</v>
      </c>
      <c r="C2" s="4"/>
      <c r="D2" s="4" t="s">
        <v>155</v>
      </c>
      <c r="E2" s="4"/>
    </row>
    <row r="3" spans="1:22">
      <c r="A3" s="168"/>
      <c r="B3" s="5" t="s">
        <v>67</v>
      </c>
      <c r="C3" s="4"/>
      <c r="D3" s="4" t="s">
        <v>186</v>
      </c>
      <c r="E3" s="4"/>
    </row>
    <row r="4" spans="1:22" ht="23.25" customHeight="1">
      <c r="A4" s="168"/>
    </row>
    <row r="5" spans="1:22" s="7" customFormat="1" ht="18.75" customHeight="1">
      <c r="A5" s="168"/>
      <c r="B5" s="170" t="s">
        <v>126</v>
      </c>
      <c r="C5" s="170"/>
      <c r="D5" s="170"/>
      <c r="E5" s="170"/>
      <c r="F5" s="18" t="s">
        <v>34</v>
      </c>
      <c r="G5" s="18" t="s">
        <v>35</v>
      </c>
      <c r="H5" s="18" t="s">
        <v>36</v>
      </c>
      <c r="I5" s="18" t="s">
        <v>37</v>
      </c>
      <c r="J5" s="18" t="s">
        <v>38</v>
      </c>
      <c r="K5" s="18" t="s">
        <v>39</v>
      </c>
      <c r="L5" s="18" t="s">
        <v>40</v>
      </c>
      <c r="M5" s="18" t="s">
        <v>41</v>
      </c>
      <c r="N5" s="18" t="s">
        <v>42</v>
      </c>
      <c r="O5" s="18" t="s">
        <v>43</v>
      </c>
      <c r="P5" s="18" t="s">
        <v>44</v>
      </c>
      <c r="Q5" s="18" t="s">
        <v>45</v>
      </c>
      <c r="R5" s="18" t="s">
        <v>46</v>
      </c>
      <c r="S5" s="18" t="s">
        <v>47</v>
      </c>
      <c r="T5" s="18" t="s">
        <v>48</v>
      </c>
      <c r="U5" s="18" t="s">
        <v>49</v>
      </c>
      <c r="V5" s="18" t="s">
        <v>50</v>
      </c>
    </row>
    <row r="6" spans="1:22">
      <c r="A6" s="168"/>
      <c r="B6" s="9" t="s">
        <v>120</v>
      </c>
      <c r="C6" s="9"/>
      <c r="D6" s="9"/>
      <c r="E6" s="16"/>
      <c r="F6" s="32">
        <v>13.902768407075746</v>
      </c>
      <c r="G6" s="32">
        <v>14.569413968655953</v>
      </c>
      <c r="H6" s="32">
        <v>13.547830222993202</v>
      </c>
      <c r="I6" s="32">
        <v>13.548386307014724</v>
      </c>
      <c r="J6" s="32">
        <v>13.87348377997179</v>
      </c>
      <c r="K6" s="32">
        <v>13.124127764127763</v>
      </c>
      <c r="L6" s="32">
        <v>13.810004817729244</v>
      </c>
      <c r="M6" s="32">
        <v>15.23357885944263</v>
      </c>
      <c r="N6" s="32">
        <v>13.912096896830901</v>
      </c>
      <c r="O6" s="32">
        <v>13.955400310490131</v>
      </c>
      <c r="P6" s="32">
        <v>14.766836568701876</v>
      </c>
      <c r="Q6" s="32">
        <v>13.808255659121171</v>
      </c>
      <c r="R6" s="32">
        <v>15.183811227138984</v>
      </c>
      <c r="S6" s="32">
        <v>15.113290656016915</v>
      </c>
      <c r="T6" s="32">
        <v>14.347967720441252</v>
      </c>
      <c r="U6" s="32">
        <v>14.165653911424974</v>
      </c>
      <c r="V6" s="32">
        <v>14.123401226647793</v>
      </c>
    </row>
    <row r="7" spans="1:22">
      <c r="A7" s="168"/>
      <c r="B7" s="10" t="s">
        <v>119</v>
      </c>
      <c r="C7" s="10"/>
      <c r="D7" s="10"/>
      <c r="E7" s="9"/>
      <c r="F7" s="31">
        <v>13.120812177242437</v>
      </c>
      <c r="G7" s="31">
        <v>13.6468837875147</v>
      </c>
      <c r="H7" s="31">
        <v>12.8966009711511</v>
      </c>
      <c r="I7" s="31">
        <v>12.893128678112044</v>
      </c>
      <c r="J7" s="31">
        <v>12.779127459366981</v>
      </c>
      <c r="K7" s="31">
        <v>12.304246201791974</v>
      </c>
      <c r="L7" s="31">
        <v>12.857887344766411</v>
      </c>
      <c r="M7" s="31">
        <v>14.173020527859238</v>
      </c>
      <c r="N7" s="31">
        <v>12.862800875273523</v>
      </c>
      <c r="O7" s="31">
        <v>12.853515625</v>
      </c>
      <c r="P7" s="31">
        <v>13.628946135831383</v>
      </c>
      <c r="Q7" s="31">
        <v>12.800421829686265</v>
      </c>
      <c r="R7" s="31">
        <v>14.319068274189693</v>
      </c>
      <c r="S7" s="31">
        <v>14.13359567798306</v>
      </c>
      <c r="T7" s="31">
        <v>13.371416102989308</v>
      </c>
      <c r="U7" s="31">
        <v>13.766531094200998</v>
      </c>
      <c r="V7" s="31">
        <v>13.181301522012252</v>
      </c>
    </row>
    <row r="8" spans="1:22">
      <c r="A8" s="168"/>
      <c r="B8" s="11" t="s">
        <v>3</v>
      </c>
      <c r="C8" s="11"/>
      <c r="D8" s="11"/>
      <c r="E8" s="11"/>
      <c r="F8" s="32">
        <v>4.4996808964404718</v>
      </c>
      <c r="G8" s="32">
        <v>6.212007894463488</v>
      </c>
      <c r="H8" s="32">
        <v>4.824692677712453</v>
      </c>
      <c r="I8" s="32">
        <v>4.7618302407763684</v>
      </c>
      <c r="J8" s="32">
        <v>3.3513513513513513</v>
      </c>
      <c r="K8" s="32">
        <v>5.2709529276693452</v>
      </c>
      <c r="L8" s="32">
        <v>3.9227272727272728</v>
      </c>
      <c r="M8" s="32">
        <v>7.308988764044944</v>
      </c>
      <c r="N8" s="32">
        <v>5.4877622377622375</v>
      </c>
      <c r="O8" s="32">
        <v>5.4971810270866523</v>
      </c>
      <c r="P8" s="32">
        <v>4.7075675675675672</v>
      </c>
      <c r="Q8" s="32">
        <v>5.0218790218790215</v>
      </c>
      <c r="R8" s="32">
        <v>6.1133049817739975</v>
      </c>
      <c r="S8" s="32">
        <v>6.5518499218342887</v>
      </c>
      <c r="T8" s="32">
        <v>4.4710743801652892</v>
      </c>
      <c r="U8" s="32">
        <v>6.8570029382957882</v>
      </c>
      <c r="V8" s="32">
        <v>5.2774616983649025</v>
      </c>
    </row>
    <row r="9" spans="1:22">
      <c r="A9" s="168"/>
      <c r="B9" s="12"/>
      <c r="C9" s="12" t="s">
        <v>4</v>
      </c>
      <c r="D9" s="12"/>
      <c r="E9" s="12"/>
      <c r="F9" s="33">
        <v>7.2391973218259578</v>
      </c>
      <c r="G9" s="33">
        <v>7.1002695417789754</v>
      </c>
      <c r="H9" s="33">
        <v>4.116504854368932</v>
      </c>
      <c r="I9" s="33">
        <v>7.1691671907285954</v>
      </c>
      <c r="J9" s="33">
        <v>4.8695652173913047</v>
      </c>
      <c r="K9" s="33">
        <v>5.2709529276693452</v>
      </c>
      <c r="L9" s="33">
        <v>3.595326606479023</v>
      </c>
      <c r="M9" s="33">
        <v>8.9689922480620154</v>
      </c>
      <c r="N9" s="33">
        <v>7.2091954022988505</v>
      </c>
      <c r="O9" s="33">
        <v>5.7902483900643977</v>
      </c>
      <c r="P9" s="33">
        <v>7.9962686567164178</v>
      </c>
      <c r="Q9" s="33">
        <v>8.1602209944751376</v>
      </c>
      <c r="R9" s="33">
        <v>7.2909207161125318</v>
      </c>
      <c r="S9" s="33">
        <v>9.7745664739884397</v>
      </c>
      <c r="T9" s="33">
        <v>4.546184738955823</v>
      </c>
      <c r="U9" s="33">
        <v>0</v>
      </c>
      <c r="V9" s="33">
        <v>6.76080662431026</v>
      </c>
    </row>
    <row r="10" spans="1:22">
      <c r="A10" s="168"/>
      <c r="B10" s="13"/>
      <c r="C10" s="13" t="s">
        <v>5</v>
      </c>
      <c r="D10" s="13"/>
      <c r="E10" s="13"/>
      <c r="F10" s="35">
        <v>3.7838559390165836</v>
      </c>
      <c r="G10" s="35">
        <v>5.6550616866655403</v>
      </c>
      <c r="H10" s="35">
        <v>4.8659502262443439</v>
      </c>
      <c r="I10" s="35">
        <v>3.733080552311641</v>
      </c>
      <c r="J10" s="35">
        <v>3.0720000000000001</v>
      </c>
      <c r="K10" s="35">
        <v>5.2709529276693452</v>
      </c>
      <c r="L10" s="35">
        <v>4.1042095967029733</v>
      </c>
      <c r="M10" s="35">
        <v>6.3656387665198242</v>
      </c>
      <c r="N10" s="35">
        <v>5.3069306930693072</v>
      </c>
      <c r="O10" s="35">
        <v>5.4239871333384393</v>
      </c>
      <c r="P10" s="35">
        <v>3.3660578386605784</v>
      </c>
      <c r="Q10" s="35">
        <v>4.0687919463087248</v>
      </c>
      <c r="R10" s="35">
        <v>5.0474537037037033</v>
      </c>
      <c r="S10" s="35">
        <v>5.3571428571428568</v>
      </c>
      <c r="T10" s="35">
        <v>4.4555278470490443</v>
      </c>
      <c r="U10" s="35">
        <v>0</v>
      </c>
      <c r="V10" s="35">
        <v>4.8773182815361604</v>
      </c>
    </row>
    <row r="11" spans="1:22" hidden="1">
      <c r="A11" s="168"/>
      <c r="B11" s="13"/>
      <c r="C11" s="13"/>
      <c r="D11" s="13"/>
      <c r="E11" s="13"/>
      <c r="F11" s="35"/>
      <c r="G11" s="35"/>
      <c r="H11" s="35"/>
      <c r="I11" s="35"/>
      <c r="J11" s="35"/>
      <c r="K11" s="35"/>
      <c r="L11" s="35"/>
      <c r="M11" s="35"/>
      <c r="N11" s="35"/>
      <c r="O11" s="35"/>
      <c r="P11" s="35"/>
      <c r="Q11" s="35"/>
      <c r="R11" s="35"/>
      <c r="S11" s="35"/>
      <c r="T11" s="35"/>
      <c r="U11" s="35"/>
      <c r="V11" s="35"/>
    </row>
    <row r="12" spans="1:22">
      <c r="A12" s="168"/>
      <c r="B12" s="11" t="s">
        <v>6</v>
      </c>
      <c r="C12" s="11"/>
      <c r="D12" s="11"/>
      <c r="E12" s="11"/>
      <c r="F12" s="32">
        <v>5.8173552975065261</v>
      </c>
      <c r="G12" s="32">
        <v>0</v>
      </c>
      <c r="H12" s="32">
        <v>0</v>
      </c>
      <c r="I12" s="32">
        <v>0</v>
      </c>
      <c r="J12" s="32">
        <v>17</v>
      </c>
      <c r="K12" s="32">
        <v>15.708860759493671</v>
      </c>
      <c r="L12" s="32">
        <v>9.9745222929936297</v>
      </c>
      <c r="M12" s="32">
        <v>0</v>
      </c>
      <c r="N12" s="32">
        <v>17.856164383561644</v>
      </c>
      <c r="O12" s="32">
        <v>8.7791164658634546</v>
      </c>
      <c r="P12" s="32">
        <v>24.75</v>
      </c>
      <c r="Q12" s="32">
        <v>16</v>
      </c>
      <c r="R12" s="32">
        <v>0</v>
      </c>
      <c r="S12" s="32">
        <v>0</v>
      </c>
      <c r="T12" s="32">
        <v>0</v>
      </c>
      <c r="U12" s="32">
        <v>0</v>
      </c>
      <c r="V12" s="32">
        <v>9.7937685053185657</v>
      </c>
    </row>
    <row r="13" spans="1:22">
      <c r="A13" s="168"/>
      <c r="B13" s="12"/>
      <c r="C13" s="12" t="s">
        <v>7</v>
      </c>
      <c r="D13" s="12"/>
      <c r="E13" s="12"/>
      <c r="F13" s="33">
        <v>0</v>
      </c>
      <c r="G13" s="33">
        <v>0</v>
      </c>
      <c r="H13" s="33">
        <v>0</v>
      </c>
      <c r="I13" s="33">
        <v>0</v>
      </c>
      <c r="J13" s="33">
        <v>17</v>
      </c>
      <c r="K13" s="33">
        <v>15.708860759493671</v>
      </c>
      <c r="L13" s="33">
        <v>0</v>
      </c>
      <c r="M13" s="33">
        <v>0</v>
      </c>
      <c r="N13" s="33">
        <v>0</v>
      </c>
      <c r="O13" s="33">
        <v>0</v>
      </c>
      <c r="P13" s="33">
        <v>0</v>
      </c>
      <c r="Q13" s="33">
        <v>0</v>
      </c>
      <c r="R13" s="33">
        <v>0</v>
      </c>
      <c r="S13" s="33">
        <v>0</v>
      </c>
      <c r="T13" s="33">
        <v>0</v>
      </c>
      <c r="U13" s="33">
        <v>0</v>
      </c>
      <c r="V13" s="33">
        <v>15.710674157303371</v>
      </c>
    </row>
    <row r="14" spans="1:22">
      <c r="A14" s="168"/>
      <c r="B14" s="13"/>
      <c r="C14" s="13" t="s">
        <v>8</v>
      </c>
      <c r="D14" s="13"/>
      <c r="E14" s="13"/>
      <c r="F14" s="35">
        <v>5.8173552975065261</v>
      </c>
      <c r="G14" s="35">
        <v>0</v>
      </c>
      <c r="H14" s="35">
        <v>0</v>
      </c>
      <c r="I14" s="35">
        <v>0</v>
      </c>
      <c r="J14" s="35">
        <v>0</v>
      </c>
      <c r="K14" s="35">
        <v>0</v>
      </c>
      <c r="L14" s="35">
        <v>9.9745222929936297</v>
      </c>
      <c r="M14" s="35">
        <v>0</v>
      </c>
      <c r="N14" s="35">
        <v>17.856164383561644</v>
      </c>
      <c r="O14" s="35">
        <v>8.7791164658634546</v>
      </c>
      <c r="P14" s="35">
        <v>24.75</v>
      </c>
      <c r="Q14" s="35">
        <v>16</v>
      </c>
      <c r="R14" s="35">
        <v>0</v>
      </c>
      <c r="S14" s="35">
        <v>0</v>
      </c>
      <c r="T14" s="35">
        <v>0</v>
      </c>
      <c r="U14" s="35">
        <v>0</v>
      </c>
      <c r="V14" s="33">
        <v>7.8841202494923124</v>
      </c>
    </row>
    <row r="15" spans="1:22">
      <c r="A15" s="168"/>
      <c r="B15" s="11" t="s">
        <v>123</v>
      </c>
      <c r="C15" s="11"/>
      <c r="D15" s="11"/>
      <c r="E15" s="11"/>
      <c r="F15" s="32">
        <v>17.339770338365323</v>
      </c>
      <c r="G15" s="32">
        <v>17.899170683300255</v>
      </c>
      <c r="H15" s="32">
        <v>14.6105149158216</v>
      </c>
      <c r="I15" s="32">
        <v>16.376840269143887</v>
      </c>
      <c r="J15" s="32">
        <v>14.71</v>
      </c>
      <c r="K15" s="32">
        <v>12.955867259664728</v>
      </c>
      <c r="L15" s="32">
        <v>14.220428317798492</v>
      </c>
      <c r="M15" s="32">
        <v>16.356443719412724</v>
      </c>
      <c r="N15" s="32">
        <v>15.419270212258526</v>
      </c>
      <c r="O15" s="32">
        <v>15.226578294670585</v>
      </c>
      <c r="P15" s="32">
        <v>15.694165378670789</v>
      </c>
      <c r="Q15" s="32">
        <v>14.791002044989774</v>
      </c>
      <c r="R15" s="32">
        <v>16.17099522127571</v>
      </c>
      <c r="S15" s="32">
        <v>17.288268643698213</v>
      </c>
      <c r="T15" s="32">
        <v>15.601546872916389</v>
      </c>
      <c r="U15" s="32">
        <v>16.225056572721662</v>
      </c>
      <c r="V15" s="34">
        <v>15.874456147208448</v>
      </c>
    </row>
    <row r="16" spans="1:22">
      <c r="A16" s="168"/>
      <c r="B16" s="12"/>
      <c r="C16" s="12" t="s">
        <v>9</v>
      </c>
      <c r="D16" s="12"/>
      <c r="E16" s="12"/>
      <c r="F16" s="33">
        <v>17.331892302758941</v>
      </c>
      <c r="G16" s="33">
        <v>17.890719149998219</v>
      </c>
      <c r="H16" s="33">
        <v>14.845705487737821</v>
      </c>
      <c r="I16" s="33">
        <v>16.388082132350284</v>
      </c>
      <c r="J16" s="33">
        <v>14.642099681866384</v>
      </c>
      <c r="K16" s="33">
        <v>13.003174603174603</v>
      </c>
      <c r="L16" s="33">
        <v>14.282172108156626</v>
      </c>
      <c r="M16" s="33">
        <v>16.316552667578659</v>
      </c>
      <c r="N16" s="33">
        <v>15.456066540935248</v>
      </c>
      <c r="O16" s="33">
        <v>15.192302847064752</v>
      </c>
      <c r="P16" s="33">
        <v>15.677541508884358</v>
      </c>
      <c r="Q16" s="33">
        <v>14.750412541254125</v>
      </c>
      <c r="R16" s="33">
        <v>16.133291417793146</v>
      </c>
      <c r="S16" s="33">
        <v>17.291639236339698</v>
      </c>
      <c r="T16" s="33">
        <v>15.63509485094851</v>
      </c>
      <c r="U16" s="33">
        <v>16.356603773584904</v>
      </c>
      <c r="V16" s="33">
        <v>15.873619397783736</v>
      </c>
    </row>
    <row r="17" spans="1:22">
      <c r="A17" s="168"/>
      <c r="B17" s="12"/>
      <c r="C17" s="12" t="s">
        <v>187</v>
      </c>
      <c r="D17" s="12"/>
      <c r="E17" s="12"/>
      <c r="F17" s="33">
        <v>17.731611637790127</v>
      </c>
      <c r="G17" s="33">
        <v>0</v>
      </c>
      <c r="H17" s="33">
        <v>11.906218144750255</v>
      </c>
      <c r="I17" s="33">
        <v>15.977443609022556</v>
      </c>
      <c r="J17" s="33">
        <v>0</v>
      </c>
      <c r="K17" s="33">
        <v>12.640703517587939</v>
      </c>
      <c r="L17" s="33">
        <v>0</v>
      </c>
      <c r="M17" s="33">
        <v>0</v>
      </c>
      <c r="N17" s="33">
        <v>10.785714285714286</v>
      </c>
      <c r="O17" s="33">
        <v>11.881188118811881</v>
      </c>
      <c r="P17" s="33">
        <v>0</v>
      </c>
      <c r="Q17" s="33">
        <v>0</v>
      </c>
      <c r="R17" s="33">
        <v>27.588235294117649</v>
      </c>
      <c r="S17" s="33">
        <v>0</v>
      </c>
      <c r="T17" s="33">
        <v>0</v>
      </c>
      <c r="U17" s="33">
        <v>15.251700680272108</v>
      </c>
      <c r="V17" s="33">
        <v>15.756080326924462</v>
      </c>
    </row>
    <row r="18" spans="1:22">
      <c r="A18" s="168"/>
      <c r="B18" s="13"/>
      <c r="C18" s="13" t="s">
        <v>11</v>
      </c>
      <c r="D18" s="13"/>
      <c r="E18" s="13"/>
      <c r="F18" s="35">
        <v>15.286915386297231</v>
      </c>
      <c r="G18" s="35">
        <v>19.301775147928993</v>
      </c>
      <c r="H18" s="35">
        <v>20.807228915662652</v>
      </c>
      <c r="I18" s="35">
        <v>15.442383249614563</v>
      </c>
      <c r="J18" s="35">
        <v>23.857142857142858</v>
      </c>
      <c r="K18" s="35">
        <v>11.580645161290322</v>
      </c>
      <c r="L18" s="35">
        <v>8.6616161616161609</v>
      </c>
      <c r="M18" s="35">
        <v>22.695652173913043</v>
      </c>
      <c r="N18" s="35">
        <v>14.028735632183908</v>
      </c>
      <c r="O18" s="35">
        <v>23.108000000000001</v>
      </c>
      <c r="P18" s="35">
        <v>18.924528301886792</v>
      </c>
      <c r="Q18" s="35">
        <v>19.476190476190474</v>
      </c>
      <c r="R18" s="35">
        <v>18.681818181818183</v>
      </c>
      <c r="S18" s="35">
        <v>16.758620689655171</v>
      </c>
      <c r="T18" s="35">
        <v>13.521008403361344</v>
      </c>
      <c r="U18" s="35">
        <v>16.666666666666668</v>
      </c>
      <c r="V18" s="35">
        <v>16.301776351425126</v>
      </c>
    </row>
    <row r="19" spans="1:22">
      <c r="A19" s="168"/>
      <c r="B19" s="11" t="s">
        <v>124</v>
      </c>
      <c r="C19" s="11"/>
      <c r="D19" s="11"/>
      <c r="E19" s="11"/>
      <c r="F19" s="32">
        <v>14.120398356080257</v>
      </c>
      <c r="G19" s="32">
        <v>13.170722943968533</v>
      </c>
      <c r="H19" s="32">
        <v>12.861765880942869</v>
      </c>
      <c r="I19" s="32">
        <v>12.725045837138079</v>
      </c>
      <c r="J19" s="32">
        <v>12.117608624632473</v>
      </c>
      <c r="K19" s="32">
        <v>11.945344379868926</v>
      </c>
      <c r="L19" s="32">
        <v>14.228878585203725</v>
      </c>
      <c r="M19" s="32">
        <v>14.751857355126301</v>
      </c>
      <c r="N19" s="32">
        <v>12.401838162961297</v>
      </c>
      <c r="O19" s="32">
        <v>13.463973226886013</v>
      </c>
      <c r="P19" s="32">
        <v>15.189672507900029</v>
      </c>
      <c r="Q19" s="32">
        <v>13.491455509723041</v>
      </c>
      <c r="R19" s="32">
        <v>15.601032336420221</v>
      </c>
      <c r="S19" s="32">
        <v>14.726680185399768</v>
      </c>
      <c r="T19" s="32">
        <v>12.723600456993635</v>
      </c>
      <c r="U19" s="32">
        <v>13.955933103265197</v>
      </c>
      <c r="V19" s="32">
        <v>13.528870257838564</v>
      </c>
    </row>
    <row r="20" spans="1:22">
      <c r="A20" s="168"/>
      <c r="B20" s="12"/>
      <c r="C20" s="12" t="s">
        <v>12</v>
      </c>
      <c r="D20" s="12"/>
      <c r="E20" s="12"/>
      <c r="F20" s="33">
        <v>0</v>
      </c>
      <c r="G20" s="33">
        <v>11.38</v>
      </c>
      <c r="H20" s="33">
        <v>14.767652088932323</v>
      </c>
      <c r="I20" s="33">
        <v>13.140158173775664</v>
      </c>
      <c r="J20" s="33">
        <v>0</v>
      </c>
      <c r="K20" s="33">
        <v>8.4901960784313726</v>
      </c>
      <c r="L20" s="33">
        <v>13.127419354838709</v>
      </c>
      <c r="M20" s="33">
        <v>0</v>
      </c>
      <c r="N20" s="33">
        <v>0</v>
      </c>
      <c r="O20" s="33">
        <v>0</v>
      </c>
      <c r="P20" s="33">
        <v>0</v>
      </c>
      <c r="Q20" s="33">
        <v>0</v>
      </c>
      <c r="R20" s="33">
        <v>0</v>
      </c>
      <c r="S20" s="33">
        <v>0</v>
      </c>
      <c r="T20" s="33">
        <v>0</v>
      </c>
      <c r="U20" s="33">
        <v>0</v>
      </c>
      <c r="V20" s="33">
        <v>13.854367102081884</v>
      </c>
    </row>
    <row r="21" spans="1:22">
      <c r="A21" s="168"/>
      <c r="B21" s="12"/>
      <c r="C21" s="12" t="s">
        <v>13</v>
      </c>
      <c r="D21" s="12"/>
      <c r="E21" s="12"/>
      <c r="F21" s="33">
        <v>12.194395001685233</v>
      </c>
      <c r="G21" s="33">
        <v>0</v>
      </c>
      <c r="H21" s="33">
        <v>0</v>
      </c>
      <c r="I21" s="33">
        <v>0</v>
      </c>
      <c r="J21" s="33">
        <v>0</v>
      </c>
      <c r="K21" s="33">
        <v>0</v>
      </c>
      <c r="L21" s="33">
        <v>10.391420911528151</v>
      </c>
      <c r="M21" s="33">
        <v>0</v>
      </c>
      <c r="N21" s="33">
        <v>7.9570376432078556</v>
      </c>
      <c r="O21" s="33">
        <v>9.2405183914617872</v>
      </c>
      <c r="P21" s="33">
        <v>4.4074074074074074</v>
      </c>
      <c r="Q21" s="33">
        <v>0</v>
      </c>
      <c r="R21" s="33">
        <v>0</v>
      </c>
      <c r="S21" s="33">
        <v>0</v>
      </c>
      <c r="T21" s="33">
        <v>0</v>
      </c>
      <c r="U21" s="33">
        <v>0</v>
      </c>
      <c r="V21" s="33">
        <v>9.972309189200363</v>
      </c>
    </row>
    <row r="22" spans="1:22">
      <c r="A22" s="168"/>
      <c r="B22" s="12"/>
      <c r="C22" s="12" t="s">
        <v>188</v>
      </c>
      <c r="D22" s="12"/>
      <c r="E22" s="12"/>
      <c r="F22" s="33">
        <v>0</v>
      </c>
      <c r="G22" s="33">
        <v>11.849514008004574</v>
      </c>
      <c r="H22" s="33">
        <v>0</v>
      </c>
      <c r="I22" s="33">
        <v>11.08159769482322</v>
      </c>
      <c r="J22" s="33">
        <v>0</v>
      </c>
      <c r="K22" s="33">
        <v>0</v>
      </c>
      <c r="L22" s="33">
        <v>12.041076487252125</v>
      </c>
      <c r="M22" s="33">
        <v>14.974970896391152</v>
      </c>
      <c r="N22" s="33">
        <v>10.860096346848655</v>
      </c>
      <c r="O22" s="33">
        <v>0</v>
      </c>
      <c r="P22" s="33">
        <v>13.817530411598067</v>
      </c>
      <c r="Q22" s="33">
        <v>3.5384615384615383</v>
      </c>
      <c r="R22" s="33">
        <v>15.685951452647465</v>
      </c>
      <c r="S22" s="33">
        <v>14.930208333333333</v>
      </c>
      <c r="T22" s="33">
        <v>0</v>
      </c>
      <c r="U22" s="33">
        <v>14.063365753020925</v>
      </c>
      <c r="V22" s="33">
        <v>12.882528123543223</v>
      </c>
    </row>
    <row r="23" spans="1:22">
      <c r="A23" s="168"/>
      <c r="B23" s="12"/>
      <c r="C23" s="12" t="s">
        <v>15</v>
      </c>
      <c r="D23" s="12"/>
      <c r="E23" s="12"/>
      <c r="F23" s="33">
        <v>15.343436932176497</v>
      </c>
      <c r="G23" s="33">
        <v>14.314539877300614</v>
      </c>
      <c r="H23" s="33">
        <v>0</v>
      </c>
      <c r="I23" s="33">
        <v>0</v>
      </c>
      <c r="J23" s="33">
        <v>0</v>
      </c>
      <c r="K23" s="33">
        <v>0</v>
      </c>
      <c r="L23" s="33">
        <v>15.540483946021405</v>
      </c>
      <c r="M23" s="33">
        <v>0</v>
      </c>
      <c r="N23" s="33">
        <v>14.624320316361839</v>
      </c>
      <c r="O23" s="33">
        <v>14.710737710958803</v>
      </c>
      <c r="P23" s="33">
        <v>18.147435897435898</v>
      </c>
      <c r="Q23" s="33">
        <v>18.851851851851851</v>
      </c>
      <c r="R23" s="33">
        <v>0</v>
      </c>
      <c r="S23" s="33">
        <v>0</v>
      </c>
      <c r="T23" s="33">
        <v>0</v>
      </c>
      <c r="U23" s="33">
        <v>0</v>
      </c>
      <c r="V23" s="33">
        <v>14.831298686999366</v>
      </c>
    </row>
    <row r="24" spans="1:22">
      <c r="A24" s="168"/>
      <c r="B24" s="12"/>
      <c r="C24" s="12" t="s">
        <v>16</v>
      </c>
      <c r="D24" s="12"/>
      <c r="E24" s="12"/>
      <c r="F24" s="33">
        <v>15.009740024436077</v>
      </c>
      <c r="G24" s="33"/>
      <c r="H24" s="33">
        <v>13.672862453531598</v>
      </c>
      <c r="I24" s="33">
        <v>15.644739366978772</v>
      </c>
      <c r="J24" s="33">
        <v>16.764705882352942</v>
      </c>
      <c r="K24" s="33">
        <v>13.782446628261606</v>
      </c>
      <c r="L24" s="33">
        <v>15.733464038798886</v>
      </c>
      <c r="M24" s="33">
        <v>14.518035303146585</v>
      </c>
      <c r="N24" s="33">
        <v>14.396258781244894</v>
      </c>
      <c r="O24" s="33">
        <v>16.036813867106893</v>
      </c>
      <c r="P24" s="33">
        <v>17.468687674511369</v>
      </c>
      <c r="Q24" s="33">
        <v>16.144672531769306</v>
      </c>
      <c r="R24" s="33">
        <v>15.434948723104766</v>
      </c>
      <c r="S24" s="33">
        <v>15.14955640050697</v>
      </c>
      <c r="T24" s="33">
        <v>14.58533682456558</v>
      </c>
      <c r="U24" s="33">
        <v>14.807642205818498</v>
      </c>
      <c r="V24" s="33">
        <v>15.027995312273825</v>
      </c>
    </row>
    <row r="25" spans="1:22">
      <c r="A25" s="168"/>
      <c r="B25" s="12"/>
      <c r="C25" s="12" t="s">
        <v>187</v>
      </c>
      <c r="D25" s="12"/>
      <c r="E25" s="12"/>
      <c r="F25" s="33">
        <v>11.669724375641342</v>
      </c>
      <c r="G25" s="33">
        <v>10.804597701149426</v>
      </c>
      <c r="H25" s="33">
        <v>11.364535450619863</v>
      </c>
      <c r="I25" s="33">
        <v>11.501713060511671</v>
      </c>
      <c r="J25" s="33">
        <v>11.289320388349514</v>
      </c>
      <c r="K25" s="33">
        <v>10.9053750255467</v>
      </c>
      <c r="L25" s="33">
        <v>12.86038961038961</v>
      </c>
      <c r="M25" s="33">
        <v>13.907438016528925</v>
      </c>
      <c r="N25" s="33">
        <v>11.351922200273515</v>
      </c>
      <c r="O25" s="33">
        <v>11.543154761904763</v>
      </c>
      <c r="P25" s="33">
        <v>13.992000000000001</v>
      </c>
      <c r="Q25" s="33">
        <v>12.23059866962306</v>
      </c>
      <c r="R25" s="33">
        <v>21.273972602739725</v>
      </c>
      <c r="S25" s="33">
        <v>13.801129234629862</v>
      </c>
      <c r="T25" s="33">
        <v>11.713560827096282</v>
      </c>
      <c r="U25" s="33">
        <v>12.761447145279819</v>
      </c>
      <c r="V25" s="33">
        <v>11.774208108373379</v>
      </c>
    </row>
    <row r="26" spans="1:22">
      <c r="A26" s="168"/>
      <c r="B26" s="12"/>
      <c r="C26" s="12" t="s">
        <v>11</v>
      </c>
      <c r="D26" s="12"/>
      <c r="E26" s="12"/>
      <c r="F26" s="33">
        <v>12.055852972018323</v>
      </c>
      <c r="G26" s="33">
        <v>13.388888888888889</v>
      </c>
      <c r="H26" s="33">
        <v>11.407582938388625</v>
      </c>
      <c r="I26" s="33">
        <v>11.590074218457158</v>
      </c>
      <c r="J26" s="33">
        <v>17.166666666666668</v>
      </c>
      <c r="K26" s="33">
        <v>10.52980132450331</v>
      </c>
      <c r="L26" s="33">
        <v>11.394736842105264</v>
      </c>
      <c r="M26" s="33">
        <v>15.975</v>
      </c>
      <c r="N26" s="33">
        <v>11.496688741721854</v>
      </c>
      <c r="O26" s="33">
        <v>11.398135818908122</v>
      </c>
      <c r="P26" s="33">
        <v>13.01980198019802</v>
      </c>
      <c r="Q26" s="33">
        <v>12.717391304347826</v>
      </c>
      <c r="R26" s="33">
        <v>11.804054054054054</v>
      </c>
      <c r="S26" s="33">
        <v>12.40677966101695</v>
      </c>
      <c r="T26" s="33">
        <v>13.552941176470588</v>
      </c>
      <c r="U26" s="33">
        <v>10.869565217391305</v>
      </c>
      <c r="V26" s="33">
        <v>12.01111956571274</v>
      </c>
    </row>
    <row r="27" spans="1:22">
      <c r="A27" s="168"/>
      <c r="B27" s="12"/>
      <c r="C27" s="12" t="s">
        <v>17</v>
      </c>
      <c r="D27" s="12"/>
      <c r="E27" s="12"/>
      <c r="F27" s="33">
        <v>0</v>
      </c>
      <c r="G27" s="33">
        <v>0</v>
      </c>
      <c r="H27" s="33">
        <v>25.46153846153846</v>
      </c>
      <c r="I27" s="33">
        <v>0</v>
      </c>
      <c r="J27" s="33">
        <v>11.9</v>
      </c>
      <c r="K27" s="33">
        <v>0</v>
      </c>
      <c r="L27" s="33">
        <v>13.208333333333334</v>
      </c>
      <c r="M27" s="33">
        <v>0</v>
      </c>
      <c r="N27" s="33">
        <v>0</v>
      </c>
      <c r="O27" s="33">
        <v>0</v>
      </c>
      <c r="P27" s="33">
        <v>0</v>
      </c>
      <c r="Q27" s="33">
        <v>0</v>
      </c>
      <c r="R27" s="33">
        <v>0</v>
      </c>
      <c r="S27" s="33">
        <v>0</v>
      </c>
      <c r="T27" s="33">
        <v>0</v>
      </c>
      <c r="U27" s="33">
        <v>0</v>
      </c>
      <c r="V27" s="33">
        <v>16.319148936170212</v>
      </c>
    </row>
    <row r="28" spans="1:22">
      <c r="A28" s="168"/>
      <c r="B28" s="13"/>
      <c r="C28" s="13" t="s">
        <v>18</v>
      </c>
      <c r="D28" s="13"/>
      <c r="E28" s="13"/>
      <c r="F28" s="35">
        <v>17.666666666666668</v>
      </c>
      <c r="G28" s="35">
        <v>15.842105263157896</v>
      </c>
      <c r="H28" s="35">
        <v>23.04</v>
      </c>
      <c r="I28" s="35">
        <v>17.708457830365326</v>
      </c>
      <c r="J28" s="35">
        <v>12.523809523809524</v>
      </c>
      <c r="K28" s="35">
        <v>13.341463414634147</v>
      </c>
      <c r="L28" s="35">
        <v>13.797872340425531</v>
      </c>
      <c r="M28" s="35">
        <v>0</v>
      </c>
      <c r="N28" s="35">
        <v>0</v>
      </c>
      <c r="O28" s="35">
        <v>20.404371584699454</v>
      </c>
      <c r="P28" s="35">
        <v>0</v>
      </c>
      <c r="Q28" s="35">
        <v>15</v>
      </c>
      <c r="R28" s="35">
        <v>25.896551724137932</v>
      </c>
      <c r="S28" s="35">
        <v>21</v>
      </c>
      <c r="T28" s="35">
        <v>0</v>
      </c>
      <c r="U28" s="35">
        <v>0</v>
      </c>
      <c r="V28" s="33">
        <v>18.677607993032428</v>
      </c>
    </row>
    <row r="29" spans="1:22">
      <c r="A29" s="168"/>
      <c r="B29" s="9" t="s">
        <v>125</v>
      </c>
      <c r="C29" s="9"/>
      <c r="D29" s="9"/>
      <c r="E29" s="9"/>
      <c r="F29" s="31">
        <v>15.005402730024768</v>
      </c>
      <c r="G29" s="31">
        <v>17.029783944338202</v>
      </c>
      <c r="H29" s="31">
        <v>15.368487636572743</v>
      </c>
      <c r="I29" s="31">
        <v>15.410938720031801</v>
      </c>
      <c r="J29" s="31">
        <v>16.570202020202021</v>
      </c>
      <c r="K29" s="31">
        <v>16.333815925542915</v>
      </c>
      <c r="L29" s="31">
        <v>16.387567261399038</v>
      </c>
      <c r="M29" s="31">
        <v>17.512997696610729</v>
      </c>
      <c r="N29" s="31">
        <v>17.093453002517883</v>
      </c>
      <c r="O29" s="31">
        <v>16.729637052956942</v>
      </c>
      <c r="P29" s="31">
        <v>17.203054806828391</v>
      </c>
      <c r="Q29" s="31">
        <v>16.103635603844548</v>
      </c>
      <c r="R29" s="31">
        <v>16.917074877536738</v>
      </c>
      <c r="S29" s="31">
        <v>17.635157545605306</v>
      </c>
      <c r="T29" s="31">
        <v>18.625064555000861</v>
      </c>
      <c r="U29" s="31">
        <v>13.965986394557824</v>
      </c>
      <c r="V29" s="31">
        <v>16.422532868924836</v>
      </c>
    </row>
    <row r="30" spans="1:22" ht="25.5" customHeight="1">
      <c r="A30" s="168"/>
      <c r="B30" s="183" t="s">
        <v>132</v>
      </c>
      <c r="C30" s="183"/>
      <c r="D30" s="183"/>
      <c r="E30" s="183"/>
      <c r="F30" s="32">
        <v>10.353530954325549</v>
      </c>
      <c r="G30" s="32">
        <v>10.362042143968321</v>
      </c>
      <c r="H30" s="32">
        <v>12.49719919336769</v>
      </c>
      <c r="I30" s="32">
        <v>11.770583390036888</v>
      </c>
      <c r="J30" s="32">
        <v>12.435374149659864</v>
      </c>
      <c r="K30" s="32">
        <v>13.444580277098614</v>
      </c>
      <c r="L30" s="32">
        <v>11.276399597720415</v>
      </c>
      <c r="M30" s="32">
        <v>11.566256830601093</v>
      </c>
      <c r="N30" s="32">
        <v>12.289401427786931</v>
      </c>
      <c r="O30" s="32">
        <v>10.696891045534052</v>
      </c>
      <c r="P30" s="32">
        <v>11.120642768850432</v>
      </c>
      <c r="Q30" s="32">
        <v>11.582213029989658</v>
      </c>
      <c r="R30" s="32">
        <v>11.90241606526514</v>
      </c>
      <c r="S30" s="32">
        <v>11.600378787878787</v>
      </c>
      <c r="T30" s="32">
        <v>15.791228070175439</v>
      </c>
      <c r="U30" s="32">
        <v>10.307439824945295</v>
      </c>
      <c r="V30" s="32">
        <v>11.320014278729063</v>
      </c>
    </row>
    <row r="31" spans="1:22">
      <c r="A31" s="168"/>
      <c r="B31" s="12"/>
      <c r="C31" s="12" t="s">
        <v>16</v>
      </c>
      <c r="D31" s="12"/>
      <c r="E31" s="12"/>
      <c r="F31" s="33">
        <v>10.313750235387008</v>
      </c>
      <c r="G31" s="33">
        <v>10.385251958031624</v>
      </c>
      <c r="H31" s="33">
        <v>13.407684098185699</v>
      </c>
      <c r="I31" s="33">
        <v>12.195801321055731</v>
      </c>
      <c r="J31" s="33">
        <v>12.389057750759878</v>
      </c>
      <c r="K31" s="33">
        <v>12.850641025641025</v>
      </c>
      <c r="L31" s="33">
        <v>11.329998274969812</v>
      </c>
      <c r="M31" s="33">
        <v>11.703149606299213</v>
      </c>
      <c r="N31" s="33">
        <v>12.38176197836167</v>
      </c>
      <c r="O31" s="33">
        <v>11.110611173603299</v>
      </c>
      <c r="P31" s="33">
        <v>11.369180327868852</v>
      </c>
      <c r="Q31" s="33">
        <v>10.787465940054496</v>
      </c>
      <c r="R31" s="33">
        <v>11.91387245233399</v>
      </c>
      <c r="S31" s="33">
        <v>11.683561643835617</v>
      </c>
      <c r="T31" s="33">
        <v>18.236401673640167</v>
      </c>
      <c r="U31" s="33">
        <v>10.293971410814171</v>
      </c>
      <c r="V31" s="33">
        <v>11.434304041174309</v>
      </c>
    </row>
    <row r="32" spans="1:22">
      <c r="A32" s="168"/>
      <c r="B32" s="12"/>
      <c r="C32" s="12" t="s">
        <v>187</v>
      </c>
      <c r="D32" s="12"/>
      <c r="E32" s="12"/>
      <c r="F32" s="33">
        <v>11.03248141737094</v>
      </c>
      <c r="G32" s="33">
        <v>9</v>
      </c>
      <c r="H32" s="33">
        <v>11.305376344086021</v>
      </c>
      <c r="I32" s="33">
        <v>10.673963691689046</v>
      </c>
      <c r="J32" s="33">
        <v>12.443548387096774</v>
      </c>
      <c r="K32" s="33">
        <v>14.568773234200744</v>
      </c>
      <c r="L32" s="33">
        <v>0</v>
      </c>
      <c r="M32" s="33">
        <v>10.242038216560509</v>
      </c>
      <c r="N32" s="33">
        <v>12.577142857142857</v>
      </c>
      <c r="O32" s="33">
        <v>9.8355054036872218</v>
      </c>
      <c r="P32" s="33">
        <v>10.513274336283185</v>
      </c>
      <c r="Q32" s="33">
        <v>14.715686274509803</v>
      </c>
      <c r="R32" s="33">
        <v>15.928571428571429</v>
      </c>
      <c r="S32" s="33">
        <v>11.1</v>
      </c>
      <c r="T32" s="33">
        <v>12.77645305514158</v>
      </c>
      <c r="U32" s="33">
        <v>11.061797752808989</v>
      </c>
      <c r="V32" s="33">
        <v>10.977776082572147</v>
      </c>
    </row>
    <row r="33" spans="1:22">
      <c r="A33" s="168"/>
      <c r="B33" s="12"/>
      <c r="C33" s="12" t="s">
        <v>11</v>
      </c>
      <c r="D33" s="12"/>
      <c r="E33" s="12"/>
      <c r="F33" s="33">
        <v>10.522480703837642</v>
      </c>
      <c r="G33" s="33">
        <v>10.148387096774194</v>
      </c>
      <c r="H33" s="33">
        <v>9.1875</v>
      </c>
      <c r="I33" s="33">
        <v>9.2032605837496728</v>
      </c>
      <c r="J33" s="33">
        <v>22.25</v>
      </c>
      <c r="K33" s="33">
        <v>13.8</v>
      </c>
      <c r="L33" s="33">
        <v>12</v>
      </c>
      <c r="M33" s="33">
        <v>11.6875</v>
      </c>
      <c r="N33" s="33">
        <v>8.8000000000000007</v>
      </c>
      <c r="O33" s="33">
        <v>22.634782608695652</v>
      </c>
      <c r="P33" s="33">
        <v>10.3</v>
      </c>
      <c r="Q33" s="33">
        <v>12.4375</v>
      </c>
      <c r="R33" s="33">
        <v>9.7391304347826093</v>
      </c>
      <c r="S33" s="33">
        <v>12.75</v>
      </c>
      <c r="T33" s="33">
        <v>13.543859649122806</v>
      </c>
      <c r="U33" s="33">
        <v>7.6</v>
      </c>
      <c r="V33" s="33">
        <v>11.651663849860611</v>
      </c>
    </row>
    <row r="34" spans="1:22">
      <c r="A34" s="168"/>
      <c r="B34" s="12"/>
      <c r="C34" s="12" t="s">
        <v>19</v>
      </c>
      <c r="D34" s="12"/>
      <c r="E34" s="12"/>
      <c r="F34" s="33">
        <v>12.917357328913097</v>
      </c>
      <c r="G34" s="33">
        <v>13.756756756756756</v>
      </c>
      <c r="H34" s="33">
        <v>7.8636363636363633</v>
      </c>
      <c r="I34" s="33">
        <v>10.58421149935293</v>
      </c>
      <c r="J34" s="33">
        <v>8</v>
      </c>
      <c r="K34" s="33">
        <v>13.4</v>
      </c>
      <c r="L34" s="33">
        <v>7.7</v>
      </c>
      <c r="M34" s="33">
        <v>13.095238095238095</v>
      </c>
      <c r="N34" s="33">
        <v>8</v>
      </c>
      <c r="O34" s="33">
        <v>10.028268551236749</v>
      </c>
      <c r="P34" s="33">
        <v>9.4</v>
      </c>
      <c r="Q34" s="33">
        <v>4.333333333333333</v>
      </c>
      <c r="R34" s="33">
        <v>15.285714285714286</v>
      </c>
      <c r="S34" s="33">
        <v>7.5</v>
      </c>
      <c r="T34" s="33">
        <v>8.615384615384615</v>
      </c>
      <c r="U34" s="33">
        <v>0</v>
      </c>
      <c r="V34" s="33">
        <v>10.333811997262641</v>
      </c>
    </row>
    <row r="35" spans="1:22">
      <c r="A35" s="168"/>
      <c r="B35" s="14"/>
      <c r="C35" s="14" t="s">
        <v>20</v>
      </c>
      <c r="D35" s="14"/>
      <c r="E35" s="14"/>
      <c r="F35" s="35">
        <v>8.3969465648854964</v>
      </c>
      <c r="G35" s="35">
        <v>8.0490196078431371</v>
      </c>
      <c r="H35" s="35">
        <v>9.0647482014388494</v>
      </c>
      <c r="I35" s="35">
        <v>8.4489795918367339</v>
      </c>
      <c r="J35" s="35">
        <v>11.266666666666667</v>
      </c>
      <c r="K35" s="35">
        <v>13.833333333333334</v>
      </c>
      <c r="L35" s="35">
        <v>8</v>
      </c>
      <c r="M35" s="35">
        <v>0</v>
      </c>
      <c r="N35" s="35">
        <v>8.327272727272728</v>
      </c>
      <c r="O35" s="35">
        <v>10.210958904109589</v>
      </c>
      <c r="P35" s="35">
        <v>6.5483870967741939</v>
      </c>
      <c r="Q35" s="35">
        <v>10.5</v>
      </c>
      <c r="R35" s="35">
        <v>10.921875</v>
      </c>
      <c r="S35" s="35">
        <v>8.1818181818181817</v>
      </c>
      <c r="T35" s="35">
        <v>0</v>
      </c>
      <c r="U35" s="35">
        <v>7.4545454545454541</v>
      </c>
      <c r="V35" s="35">
        <v>9.4035631293570869</v>
      </c>
    </row>
    <row r="36" spans="1:22" ht="21" customHeight="1">
      <c r="A36" s="168"/>
      <c r="B36" s="15"/>
      <c r="C36" s="15"/>
      <c r="D36" s="15"/>
      <c r="E36" s="15"/>
      <c r="F36" s="33"/>
      <c r="G36" s="33"/>
      <c r="H36" s="33"/>
      <c r="I36" s="33"/>
      <c r="J36" s="33"/>
      <c r="K36" s="33"/>
      <c r="L36" s="33"/>
      <c r="M36" s="33"/>
      <c r="N36" s="33"/>
      <c r="O36" s="33"/>
      <c r="P36" s="33"/>
      <c r="Q36" s="33"/>
      <c r="R36" s="33"/>
      <c r="S36" s="33"/>
      <c r="T36" s="33"/>
      <c r="U36" s="33"/>
      <c r="V36" s="33"/>
    </row>
    <row r="37" spans="1:22" ht="12.75" customHeight="1">
      <c r="A37" s="168">
        <v>76</v>
      </c>
      <c r="B37" s="11" t="s">
        <v>128</v>
      </c>
      <c r="C37" s="11"/>
      <c r="D37" s="11"/>
      <c r="E37" s="11"/>
      <c r="F37" s="32">
        <v>17.099320091884461</v>
      </c>
      <c r="G37" s="32">
        <v>19.723009253970066</v>
      </c>
      <c r="H37" s="32">
        <v>18.396502835538751</v>
      </c>
      <c r="I37" s="32">
        <v>20.187335010520794</v>
      </c>
      <c r="J37" s="32">
        <v>19.011244979919677</v>
      </c>
      <c r="K37" s="32">
        <v>19.311633767324654</v>
      </c>
      <c r="L37" s="32">
        <v>20.125398381956362</v>
      </c>
      <c r="M37" s="32">
        <v>23.040634920634922</v>
      </c>
      <c r="N37" s="32">
        <v>20.10738731351741</v>
      </c>
      <c r="O37" s="32">
        <v>21.243245525160418</v>
      </c>
      <c r="P37" s="32">
        <v>22.266515743980243</v>
      </c>
      <c r="Q37" s="32">
        <v>19.169705469845724</v>
      </c>
      <c r="R37" s="32">
        <v>19.883794319658438</v>
      </c>
      <c r="S37" s="32">
        <v>22.334808259587021</v>
      </c>
      <c r="T37" s="32">
        <v>19.807270065869723</v>
      </c>
      <c r="U37" s="32">
        <v>16.178299702282501</v>
      </c>
      <c r="V37" s="32">
        <v>19.662060123753246</v>
      </c>
    </row>
    <row r="38" spans="1:22">
      <c r="A38" s="168"/>
      <c r="B38" s="12"/>
      <c r="C38" s="12" t="s">
        <v>21</v>
      </c>
      <c r="D38" s="12"/>
      <c r="E38" s="12"/>
      <c r="F38" s="33">
        <v>24.583550665496652</v>
      </c>
      <c r="G38" s="33">
        <v>29.475804557199908</v>
      </c>
      <c r="H38" s="33">
        <v>24.79111111111111</v>
      </c>
      <c r="I38" s="33">
        <v>27.278072697971876</v>
      </c>
      <c r="J38" s="33">
        <v>23.896644295302014</v>
      </c>
      <c r="K38" s="33">
        <v>22.081145584725537</v>
      </c>
      <c r="L38" s="33">
        <v>28.17085020242915</v>
      </c>
      <c r="M38" s="33">
        <v>34.428571428571431</v>
      </c>
      <c r="N38" s="33">
        <v>26.883221926318999</v>
      </c>
      <c r="O38" s="33">
        <v>31.204812319538018</v>
      </c>
      <c r="P38" s="33">
        <v>30.275057208237985</v>
      </c>
      <c r="Q38" s="33">
        <v>23.275035260930888</v>
      </c>
      <c r="R38" s="33">
        <v>27.358141632837167</v>
      </c>
      <c r="S38" s="33">
        <v>29.904477611940298</v>
      </c>
      <c r="T38" s="33">
        <v>24.294899271324475</v>
      </c>
      <c r="U38" s="33">
        <v>22.820224719101123</v>
      </c>
      <c r="V38" s="33">
        <v>27.685741452793128</v>
      </c>
    </row>
    <row r="39" spans="1:22">
      <c r="A39" s="168"/>
      <c r="B39" s="12"/>
      <c r="C39" s="12"/>
      <c r="D39" s="12" t="s">
        <v>22</v>
      </c>
      <c r="E39" s="12"/>
      <c r="F39" s="33">
        <v>32.684124689573373</v>
      </c>
      <c r="G39" s="33">
        <v>33.883197340586278</v>
      </c>
      <c r="H39" s="33">
        <v>31.643678160919539</v>
      </c>
      <c r="I39" s="33">
        <v>27.278072697971876</v>
      </c>
      <c r="J39" s="33">
        <v>29.468330134357007</v>
      </c>
      <c r="K39" s="33">
        <v>30.370829361296472</v>
      </c>
      <c r="L39" s="33">
        <v>31.512577589023195</v>
      </c>
      <c r="M39" s="33">
        <v>37.88073394495413</v>
      </c>
      <c r="N39" s="33">
        <v>34.254467073855096</v>
      </c>
      <c r="O39" s="33">
        <v>35.618580150844011</v>
      </c>
      <c r="P39" s="33">
        <v>35.751764705882351</v>
      </c>
      <c r="Q39" s="33">
        <v>30.309572301425661</v>
      </c>
      <c r="R39" s="33">
        <v>29.771205357142858</v>
      </c>
      <c r="S39" s="33">
        <v>36.687585266030013</v>
      </c>
      <c r="T39" s="33">
        <v>28.114421930870083</v>
      </c>
      <c r="U39" s="33">
        <v>26.941414141414143</v>
      </c>
      <c r="V39" s="33">
        <v>33.08407131900745</v>
      </c>
    </row>
    <row r="40" spans="1:22">
      <c r="A40" s="168"/>
      <c r="B40" s="12"/>
      <c r="C40" s="12"/>
      <c r="D40" s="12" t="s">
        <v>23</v>
      </c>
      <c r="E40" s="12"/>
      <c r="F40" s="33">
        <v>8.7580359983132716</v>
      </c>
      <c r="G40" s="33">
        <v>15.447930574098798</v>
      </c>
      <c r="H40" s="33">
        <v>12.370833333333334</v>
      </c>
      <c r="I40" s="33">
        <v>0</v>
      </c>
      <c r="J40" s="33">
        <v>10.9375</v>
      </c>
      <c r="K40" s="33">
        <v>8.2121212121212128</v>
      </c>
      <c r="L40" s="33">
        <v>12.287267080745341</v>
      </c>
      <c r="M40" s="33">
        <v>20.388059701492537</v>
      </c>
      <c r="N40" s="33">
        <v>8.9138323732712816</v>
      </c>
      <c r="O40" s="33">
        <v>13.10554737358861</v>
      </c>
      <c r="P40" s="33">
        <v>11.078350515463917</v>
      </c>
      <c r="Q40" s="33">
        <v>7.431192660550459</v>
      </c>
      <c r="R40" s="33">
        <v>18.231404958677686</v>
      </c>
      <c r="S40" s="33">
        <v>11.625</v>
      </c>
      <c r="T40" s="33">
        <v>14.698738170347003</v>
      </c>
      <c r="U40" s="33">
        <v>6.8828125</v>
      </c>
      <c r="V40" s="33">
        <v>11.494372890605902</v>
      </c>
    </row>
    <row r="41" spans="1:22">
      <c r="A41" s="168"/>
      <c r="B41" s="12"/>
      <c r="C41" s="12"/>
      <c r="D41" s="12" t="s">
        <v>24</v>
      </c>
      <c r="E41" s="12"/>
      <c r="F41" s="33">
        <v>5.6159048985447839</v>
      </c>
      <c r="G41" s="33">
        <v>8.9874371859296485</v>
      </c>
      <c r="H41" s="33">
        <v>0</v>
      </c>
      <c r="I41" s="33">
        <v>0</v>
      </c>
      <c r="J41" s="33">
        <v>0</v>
      </c>
      <c r="K41" s="33">
        <v>0</v>
      </c>
      <c r="L41" s="33">
        <v>0</v>
      </c>
      <c r="M41" s="33">
        <v>0</v>
      </c>
      <c r="N41" s="33">
        <v>0</v>
      </c>
      <c r="O41" s="33">
        <v>0</v>
      </c>
      <c r="P41" s="33">
        <v>0</v>
      </c>
      <c r="Q41" s="33">
        <v>0</v>
      </c>
      <c r="R41" s="33">
        <v>11.048387096774194</v>
      </c>
      <c r="S41" s="33">
        <v>0</v>
      </c>
      <c r="T41" s="33">
        <v>8.8095238095238102</v>
      </c>
      <c r="U41" s="33">
        <v>0</v>
      </c>
      <c r="V41" s="33">
        <v>8.9110779742917003</v>
      </c>
    </row>
    <row r="42" spans="1:22">
      <c r="A42" s="168"/>
      <c r="B42" s="12"/>
      <c r="C42" s="12" t="s">
        <v>25</v>
      </c>
      <c r="D42" s="12"/>
      <c r="E42" s="12"/>
      <c r="F42" s="33">
        <v>14.093959731543624</v>
      </c>
      <c r="G42" s="33">
        <v>0</v>
      </c>
      <c r="H42" s="33">
        <v>0</v>
      </c>
      <c r="I42" s="33">
        <v>0</v>
      </c>
      <c r="J42" s="33">
        <v>0</v>
      </c>
      <c r="K42" s="33">
        <v>0</v>
      </c>
      <c r="L42" s="33">
        <v>0</v>
      </c>
      <c r="M42" s="33">
        <v>0</v>
      </c>
      <c r="N42" s="33">
        <v>0</v>
      </c>
      <c r="O42" s="33">
        <v>0</v>
      </c>
      <c r="P42" s="33">
        <v>0</v>
      </c>
      <c r="Q42" s="33">
        <v>0</v>
      </c>
      <c r="R42" s="33">
        <v>0</v>
      </c>
      <c r="S42" s="33">
        <v>0</v>
      </c>
      <c r="T42" s="33">
        <v>0</v>
      </c>
      <c r="U42" s="33">
        <v>0</v>
      </c>
      <c r="V42" s="33">
        <v>14.093959731543624</v>
      </c>
    </row>
    <row r="43" spans="1:22">
      <c r="A43" s="168"/>
      <c r="B43" s="12"/>
      <c r="C43" s="12" t="s">
        <v>26</v>
      </c>
      <c r="D43" s="12"/>
      <c r="E43" s="12"/>
      <c r="F43" s="33">
        <v>13.099799233191654</v>
      </c>
      <c r="G43" s="33">
        <v>8.7530120481927707</v>
      </c>
      <c r="H43" s="33">
        <v>9.9989669421487601</v>
      </c>
      <c r="I43" s="33">
        <v>14.808185052230922</v>
      </c>
      <c r="J43" s="33">
        <v>11.149377593360995</v>
      </c>
      <c r="K43" s="33">
        <v>11.415549597855227</v>
      </c>
      <c r="L43" s="33">
        <v>11.173602080624187</v>
      </c>
      <c r="M43" s="33">
        <v>15.637873754152825</v>
      </c>
      <c r="N43" s="33">
        <v>13.002215404145209</v>
      </c>
      <c r="O43" s="33">
        <v>12.644432633537072</v>
      </c>
      <c r="P43" s="33">
        <v>15.071321321321321</v>
      </c>
      <c r="Q43" s="33">
        <v>12.914383561643836</v>
      </c>
      <c r="R43" s="33">
        <v>15.126490066225166</v>
      </c>
      <c r="S43" s="33">
        <v>13.997912317327765</v>
      </c>
      <c r="T43" s="33">
        <v>15.134495641344957</v>
      </c>
      <c r="U43" s="33">
        <v>12.018500486854917</v>
      </c>
      <c r="V43" s="33">
        <v>12.755049330049204</v>
      </c>
    </row>
    <row r="44" spans="1:22">
      <c r="A44" s="168"/>
      <c r="B44" s="12"/>
      <c r="C44" s="12" t="s">
        <v>27</v>
      </c>
      <c r="D44" s="12"/>
      <c r="E44" s="12"/>
      <c r="F44" s="33">
        <v>10.100697134004648</v>
      </c>
      <c r="G44" s="33">
        <v>8.6570397111913362</v>
      </c>
      <c r="H44" s="33">
        <v>9.473684210526315</v>
      </c>
      <c r="I44" s="33">
        <v>0</v>
      </c>
      <c r="J44" s="33">
        <v>4.666666666666667</v>
      </c>
      <c r="K44" s="33">
        <v>12.076923076923077</v>
      </c>
      <c r="L44" s="33">
        <v>0</v>
      </c>
      <c r="M44" s="33">
        <v>0</v>
      </c>
      <c r="N44" s="33">
        <v>13.965992850282277</v>
      </c>
      <c r="O44" s="33">
        <v>0</v>
      </c>
      <c r="P44" s="33">
        <v>13.114285714285714</v>
      </c>
      <c r="Q44" s="33">
        <v>0</v>
      </c>
      <c r="R44" s="33">
        <v>0</v>
      </c>
      <c r="S44" s="33">
        <v>0</v>
      </c>
      <c r="T44" s="33">
        <v>13.484848484848484</v>
      </c>
      <c r="U44" s="33">
        <v>0</v>
      </c>
      <c r="V44" s="33">
        <v>9.4562138815808048</v>
      </c>
    </row>
    <row r="45" spans="1:22">
      <c r="A45" s="168"/>
      <c r="B45" s="12"/>
      <c r="C45" s="12" t="s">
        <v>28</v>
      </c>
      <c r="D45" s="12"/>
      <c r="E45" s="12"/>
      <c r="F45" s="33">
        <v>11.566506219320402</v>
      </c>
      <c r="G45" s="33">
        <v>0</v>
      </c>
      <c r="H45" s="33">
        <v>11.956410256410257</v>
      </c>
      <c r="I45" s="33">
        <v>10.816115256869258</v>
      </c>
      <c r="J45" s="33">
        <v>9.806451612903226</v>
      </c>
      <c r="K45" s="33">
        <v>10.835443037974683</v>
      </c>
      <c r="L45" s="33">
        <v>11.052267486548809</v>
      </c>
      <c r="M45" s="33">
        <v>11.010869565217391</v>
      </c>
      <c r="N45" s="33">
        <v>11.759240525685357</v>
      </c>
      <c r="O45" s="33">
        <v>10.627067669172932</v>
      </c>
      <c r="P45" s="33">
        <v>12.30781010719755</v>
      </c>
      <c r="Q45" s="33">
        <v>7.8396946564885495</v>
      </c>
      <c r="R45" s="33">
        <v>12.720289855072464</v>
      </c>
      <c r="S45" s="33">
        <v>10.649122807017545</v>
      </c>
      <c r="T45" s="33">
        <v>11.509981851179674</v>
      </c>
      <c r="U45" s="33">
        <v>8.5323076923076915</v>
      </c>
      <c r="V45" s="33">
        <v>11.298031636474947</v>
      </c>
    </row>
    <row r="46" spans="1:22">
      <c r="A46" s="168"/>
      <c r="B46" s="12"/>
      <c r="C46" s="12" t="s">
        <v>29</v>
      </c>
      <c r="D46" s="12"/>
      <c r="E46" s="12"/>
      <c r="F46" s="33">
        <v>0</v>
      </c>
      <c r="G46" s="33">
        <v>12.283562367864693</v>
      </c>
      <c r="H46" s="33">
        <v>15.548543689320388</v>
      </c>
      <c r="I46" s="33">
        <v>18.491436742387314</v>
      </c>
      <c r="J46" s="33">
        <v>13.876923076923077</v>
      </c>
      <c r="K46" s="33">
        <v>12.904761904761905</v>
      </c>
      <c r="L46" s="33">
        <v>17.408450704225352</v>
      </c>
      <c r="M46" s="33">
        <v>11</v>
      </c>
      <c r="N46" s="33">
        <v>20.746339289519611</v>
      </c>
      <c r="O46" s="33">
        <v>18.666235446313067</v>
      </c>
      <c r="P46" s="33">
        <v>18.018691588785046</v>
      </c>
      <c r="Q46" s="33">
        <v>18.36898395721925</v>
      </c>
      <c r="R46" s="33">
        <v>17.066298342541437</v>
      </c>
      <c r="S46" s="33">
        <v>17.652173913043477</v>
      </c>
      <c r="T46" s="33">
        <v>12.826086956521738</v>
      </c>
      <c r="U46" s="33">
        <v>11.984126984126984</v>
      </c>
      <c r="V46" s="33">
        <v>15.134394740529315</v>
      </c>
    </row>
    <row r="47" spans="1:22">
      <c r="A47" s="168"/>
      <c r="B47" s="12"/>
      <c r="C47" s="12" t="s">
        <v>30</v>
      </c>
      <c r="D47" s="12"/>
      <c r="E47" s="12"/>
      <c r="F47" s="33">
        <v>13.7109417574218</v>
      </c>
      <c r="G47" s="33">
        <v>9.7443946188340806</v>
      </c>
      <c r="H47" s="33">
        <v>16.110743801652891</v>
      </c>
      <c r="I47" s="33">
        <v>15.831262647868179</v>
      </c>
      <c r="J47" s="33">
        <v>14.073684210526316</v>
      </c>
      <c r="K47" s="33">
        <v>15.666666666666666</v>
      </c>
      <c r="L47" s="33">
        <v>17.623733719247468</v>
      </c>
      <c r="M47" s="33">
        <v>13.403669724770642</v>
      </c>
      <c r="N47" s="33">
        <v>14.180377911332227</v>
      </c>
      <c r="O47" s="33">
        <v>17.585720393330483</v>
      </c>
      <c r="P47" s="33">
        <v>21.6484375</v>
      </c>
      <c r="Q47" s="33">
        <v>24.308411214953271</v>
      </c>
      <c r="R47" s="33">
        <v>14.251644736842104</v>
      </c>
      <c r="S47" s="33">
        <v>18.311203319502074</v>
      </c>
      <c r="T47" s="33">
        <v>14.817415730337078</v>
      </c>
      <c r="U47" s="33">
        <v>12.866220735785953</v>
      </c>
      <c r="V47" s="33">
        <v>15.341853617514307</v>
      </c>
    </row>
    <row r="48" spans="1:22">
      <c r="A48" s="168"/>
      <c r="B48" s="12"/>
      <c r="C48" s="12" t="s">
        <v>31</v>
      </c>
      <c r="D48" s="12"/>
      <c r="E48" s="12"/>
      <c r="F48" s="35">
        <v>0</v>
      </c>
      <c r="G48" s="35">
        <v>9.4067114093959727</v>
      </c>
      <c r="H48" s="35">
        <v>0</v>
      </c>
      <c r="I48" s="35">
        <v>0</v>
      </c>
      <c r="J48" s="35">
        <v>0</v>
      </c>
      <c r="K48" s="35">
        <v>0</v>
      </c>
      <c r="L48" s="35">
        <v>0</v>
      </c>
      <c r="M48" s="35">
        <v>0</v>
      </c>
      <c r="N48" s="35">
        <v>0</v>
      </c>
      <c r="O48" s="35">
        <v>0</v>
      </c>
      <c r="P48" s="35">
        <v>0</v>
      </c>
      <c r="Q48" s="35">
        <v>0</v>
      </c>
      <c r="R48" s="35">
        <v>0</v>
      </c>
      <c r="S48" s="35">
        <v>0</v>
      </c>
      <c r="T48" s="35">
        <v>0</v>
      </c>
      <c r="U48" s="35">
        <v>0</v>
      </c>
      <c r="V48" s="35">
        <v>9.4067114093959727</v>
      </c>
    </row>
    <row r="49" spans="1:22" ht="24" customHeight="1">
      <c r="A49" s="168"/>
      <c r="B49" s="183" t="s">
        <v>129</v>
      </c>
      <c r="C49" s="183"/>
      <c r="D49" s="183"/>
      <c r="E49" s="183"/>
      <c r="F49" s="36">
        <v>11.036288919674041</v>
      </c>
      <c r="G49" s="36">
        <v>10.513490364025696</v>
      </c>
      <c r="H49" s="36">
        <v>11.133043821555468</v>
      </c>
      <c r="I49" s="36">
        <v>13.935887219405529</v>
      </c>
      <c r="J49" s="36">
        <v>10.822727272727272</v>
      </c>
      <c r="K49" s="36">
        <v>10.019417475728156</v>
      </c>
      <c r="L49" s="36">
        <v>13.133062880324543</v>
      </c>
      <c r="M49" s="36">
        <v>14.469072164948454</v>
      </c>
      <c r="N49" s="36">
        <v>11.798180180196173</v>
      </c>
      <c r="O49" s="36">
        <v>13.01341186488788</v>
      </c>
      <c r="P49" s="36">
        <v>14.089119170984455</v>
      </c>
      <c r="Q49" s="36">
        <v>13.044101433296582</v>
      </c>
      <c r="R49" s="36">
        <v>14.755340942347088</v>
      </c>
      <c r="S49" s="36">
        <v>13.890048154093098</v>
      </c>
      <c r="T49" s="36">
        <v>13.747848537005163</v>
      </c>
      <c r="U49" s="36">
        <v>10.584213172448466</v>
      </c>
      <c r="V49" s="36">
        <v>12.143205138199706</v>
      </c>
    </row>
    <row r="50" spans="1:22">
      <c r="A50" s="168"/>
      <c r="B50" s="12"/>
      <c r="C50" s="12" t="s">
        <v>21</v>
      </c>
      <c r="D50" s="12"/>
      <c r="E50" s="12"/>
      <c r="F50" s="33">
        <v>8.7023344536288487</v>
      </c>
      <c r="G50" s="33">
        <v>14.091772151898734</v>
      </c>
      <c r="H50" s="33">
        <v>11.212076583210603</v>
      </c>
      <c r="I50" s="33">
        <v>0</v>
      </c>
      <c r="J50" s="33">
        <v>9.1308900523560208</v>
      </c>
      <c r="K50" s="33">
        <v>7.9398998330550921</v>
      </c>
      <c r="L50" s="33">
        <v>12.287267080745341</v>
      </c>
      <c r="M50" s="33">
        <v>15.688888888888888</v>
      </c>
      <c r="N50" s="33">
        <v>8.798946896533165</v>
      </c>
      <c r="O50" s="33">
        <v>13.10554737358861</v>
      </c>
      <c r="P50" s="33">
        <v>11.078350515463917</v>
      </c>
      <c r="Q50" s="33">
        <v>7.431192660550459</v>
      </c>
      <c r="R50" s="33">
        <v>15.434343434343434</v>
      </c>
      <c r="S50" s="33">
        <v>11.625</v>
      </c>
      <c r="T50" s="33">
        <v>13.452614379084967</v>
      </c>
      <c r="U50" s="33">
        <v>6.8828125</v>
      </c>
      <c r="V50" s="33">
        <v>11.087405918429575</v>
      </c>
    </row>
    <row r="51" spans="1:22">
      <c r="A51" s="168"/>
      <c r="B51" s="12"/>
      <c r="C51" s="12"/>
      <c r="D51" s="12" t="s">
        <v>23</v>
      </c>
      <c r="E51" s="12"/>
      <c r="F51" s="33">
        <v>8.7580359983132716</v>
      </c>
      <c r="G51" s="33">
        <v>15.447930574098798</v>
      </c>
      <c r="H51" s="33">
        <v>11.212076583210603</v>
      </c>
      <c r="I51" s="33">
        <v>0</v>
      </c>
      <c r="J51" s="33">
        <v>9.1308900523560208</v>
      </c>
      <c r="K51" s="33">
        <v>7.9398998330550921</v>
      </c>
      <c r="L51" s="33">
        <v>12.287267080745341</v>
      </c>
      <c r="M51" s="33">
        <v>15.688888888888888</v>
      </c>
      <c r="N51" s="33">
        <v>8.798946896533165</v>
      </c>
      <c r="O51" s="33">
        <v>13.10554737358861</v>
      </c>
      <c r="P51" s="33">
        <v>11.078350515463917</v>
      </c>
      <c r="Q51" s="33">
        <v>7.431192660550459</v>
      </c>
      <c r="R51" s="33">
        <v>16.248502994011975</v>
      </c>
      <c r="S51" s="33">
        <v>11.625</v>
      </c>
      <c r="T51" s="33">
        <v>13.617597292724197</v>
      </c>
      <c r="U51" s="33">
        <v>6.8828125</v>
      </c>
      <c r="V51" s="33">
        <v>11.181828235128217</v>
      </c>
    </row>
    <row r="52" spans="1:22">
      <c r="A52" s="168"/>
      <c r="B52" s="12"/>
      <c r="C52" s="12"/>
      <c r="D52" s="12" t="s">
        <v>24</v>
      </c>
      <c r="E52" s="12"/>
      <c r="F52" s="33">
        <v>5.6159048985447839</v>
      </c>
      <c r="G52" s="33">
        <v>8.9874371859296485</v>
      </c>
      <c r="H52" s="33">
        <v>0</v>
      </c>
      <c r="I52" s="33">
        <v>0</v>
      </c>
      <c r="J52" s="33">
        <v>0</v>
      </c>
      <c r="K52" s="33">
        <v>0</v>
      </c>
      <c r="L52" s="33">
        <v>0</v>
      </c>
      <c r="M52" s="33">
        <v>0</v>
      </c>
      <c r="N52" s="33">
        <v>0</v>
      </c>
      <c r="O52" s="33">
        <v>0</v>
      </c>
      <c r="P52" s="33">
        <v>0</v>
      </c>
      <c r="Q52" s="33">
        <v>0</v>
      </c>
      <c r="R52" s="33">
        <v>11.048387096774194</v>
      </c>
      <c r="S52" s="33">
        <v>0</v>
      </c>
      <c r="T52" s="33">
        <v>8.8095238095238102</v>
      </c>
      <c r="U52" s="33">
        <v>0</v>
      </c>
      <c r="V52" s="33">
        <v>8.9110779742917003</v>
      </c>
    </row>
    <row r="53" spans="1:22">
      <c r="A53" s="168"/>
      <c r="B53" s="12"/>
      <c r="C53" s="12" t="s">
        <v>25</v>
      </c>
      <c r="D53" s="12"/>
      <c r="E53" s="12"/>
      <c r="F53" s="33">
        <v>14.093959731543624</v>
      </c>
      <c r="G53" s="33">
        <v>0</v>
      </c>
      <c r="H53" s="33">
        <v>0</v>
      </c>
      <c r="I53" s="33">
        <v>0</v>
      </c>
      <c r="J53" s="33">
        <v>0</v>
      </c>
      <c r="K53" s="33">
        <v>0</v>
      </c>
      <c r="L53" s="33">
        <v>0</v>
      </c>
      <c r="M53" s="33">
        <v>0</v>
      </c>
      <c r="N53" s="33">
        <v>0</v>
      </c>
      <c r="O53" s="33">
        <v>0</v>
      </c>
      <c r="P53" s="33">
        <v>0</v>
      </c>
      <c r="Q53" s="33">
        <v>0</v>
      </c>
      <c r="R53" s="33">
        <v>0</v>
      </c>
      <c r="S53" s="33">
        <v>0</v>
      </c>
      <c r="T53" s="33">
        <v>0</v>
      </c>
      <c r="U53" s="33">
        <v>0</v>
      </c>
      <c r="V53" s="33">
        <v>14.093959731543624</v>
      </c>
    </row>
    <row r="54" spans="1:22">
      <c r="A54" s="168"/>
      <c r="B54" s="12"/>
      <c r="C54" s="12" t="s">
        <v>26</v>
      </c>
      <c r="D54" s="12"/>
      <c r="E54" s="12"/>
      <c r="F54" s="33">
        <v>11.817962379264866</v>
      </c>
      <c r="G54" s="33">
        <v>8.6799550814149349</v>
      </c>
      <c r="H54" s="33">
        <v>9.9989669421487601</v>
      </c>
      <c r="I54" s="33">
        <v>14.808185052230922</v>
      </c>
      <c r="J54" s="33">
        <v>11.100418410041842</v>
      </c>
      <c r="K54" s="33">
        <v>11.445652173913043</v>
      </c>
      <c r="L54" s="33">
        <v>11.173602080624187</v>
      </c>
      <c r="M54" s="33">
        <v>15.616026711185309</v>
      </c>
      <c r="N54" s="33">
        <v>12.704984664206087</v>
      </c>
      <c r="O54" s="33">
        <v>12.644432633537072</v>
      </c>
      <c r="P54" s="33">
        <v>15.071321321321321</v>
      </c>
      <c r="Q54" s="33">
        <v>12.914383561643836</v>
      </c>
      <c r="R54" s="33">
        <v>15.218878248974008</v>
      </c>
      <c r="S54" s="33">
        <v>13.903361344537815</v>
      </c>
      <c r="T54" s="33">
        <v>15.134495641344957</v>
      </c>
      <c r="U54" s="33">
        <v>11.593503937007874</v>
      </c>
      <c r="V54" s="33">
        <v>12.41783443264425</v>
      </c>
    </row>
    <row r="55" spans="1:22">
      <c r="A55" s="168"/>
      <c r="B55" s="12"/>
      <c r="C55" s="12" t="s">
        <v>27</v>
      </c>
      <c r="D55" s="12"/>
      <c r="E55" s="12"/>
      <c r="F55" s="33">
        <v>10.100697134004648</v>
      </c>
      <c r="G55" s="33">
        <v>8.656419529837251</v>
      </c>
      <c r="H55" s="33">
        <v>9.9428571428571431</v>
      </c>
      <c r="I55" s="33">
        <v>0</v>
      </c>
      <c r="J55" s="33">
        <v>4.666666666666667</v>
      </c>
      <c r="K55" s="33">
        <v>12.076923076923077</v>
      </c>
      <c r="L55" s="33">
        <v>0</v>
      </c>
      <c r="M55" s="33">
        <v>0</v>
      </c>
      <c r="N55" s="33">
        <v>13.965992850282277</v>
      </c>
      <c r="O55" s="33">
        <v>0</v>
      </c>
      <c r="P55" s="33">
        <v>10.473684210526315</v>
      </c>
      <c r="Q55" s="33">
        <v>0</v>
      </c>
      <c r="R55" s="33">
        <v>0</v>
      </c>
      <c r="S55" s="33">
        <v>0</v>
      </c>
      <c r="T55" s="33">
        <v>13.484848484848484</v>
      </c>
      <c r="U55" s="33">
        <v>0</v>
      </c>
      <c r="V55" s="33">
        <v>9.2186442367974095</v>
      </c>
    </row>
    <row r="56" spans="1:22">
      <c r="A56" s="168"/>
      <c r="B56" s="12"/>
      <c r="C56" s="12" t="s">
        <v>28</v>
      </c>
      <c r="D56" s="12"/>
      <c r="E56" s="12"/>
      <c r="F56" s="33">
        <v>11.566506219320402</v>
      </c>
      <c r="G56" s="33">
        <v>0</v>
      </c>
      <c r="H56" s="33">
        <v>11.956410256410257</v>
      </c>
      <c r="I56" s="33">
        <v>10.816115256869258</v>
      </c>
      <c r="J56" s="33">
        <v>9.806451612903226</v>
      </c>
      <c r="K56" s="33">
        <v>10.835443037974683</v>
      </c>
      <c r="L56" s="33">
        <v>11.052267486548809</v>
      </c>
      <c r="M56" s="33">
        <v>11.010869565217391</v>
      </c>
      <c r="N56" s="33">
        <v>11.759240525685357</v>
      </c>
      <c r="O56" s="33">
        <v>10.627067669172932</v>
      </c>
      <c r="P56" s="33">
        <v>12.30781010719755</v>
      </c>
      <c r="Q56" s="33">
        <v>7.8396946564885495</v>
      </c>
      <c r="R56" s="33">
        <v>12.720289855072464</v>
      </c>
      <c r="S56" s="33">
        <v>10.649122807017545</v>
      </c>
      <c r="T56" s="33">
        <v>11.509981851179674</v>
      </c>
      <c r="U56" s="33">
        <v>8.5323076923076915</v>
      </c>
      <c r="V56" s="33">
        <v>11.298031636474947</v>
      </c>
    </row>
    <row r="57" spans="1:22">
      <c r="A57" s="168"/>
      <c r="B57" s="12"/>
      <c r="C57" s="12" t="s">
        <v>29</v>
      </c>
      <c r="D57" s="12"/>
      <c r="E57" s="12"/>
      <c r="F57" s="33">
        <v>0</v>
      </c>
      <c r="G57" s="33">
        <v>10.920767306088408</v>
      </c>
      <c r="H57" s="33">
        <v>15.810945273631841</v>
      </c>
      <c r="I57" s="33">
        <v>18.491436742387314</v>
      </c>
      <c r="J57" s="33">
        <v>12.836363636363636</v>
      </c>
      <c r="K57" s="33">
        <v>12.904761904761905</v>
      </c>
      <c r="L57" s="33">
        <v>17.401523394994559</v>
      </c>
      <c r="M57" s="33">
        <v>11</v>
      </c>
      <c r="N57" s="33">
        <v>14.439216418672975</v>
      </c>
      <c r="O57" s="33">
        <v>18.674157303370787</v>
      </c>
      <c r="P57" s="33">
        <v>18.018691588785046</v>
      </c>
      <c r="Q57" s="33">
        <v>18.421621621621622</v>
      </c>
      <c r="R57" s="33">
        <v>17.066298342541437</v>
      </c>
      <c r="S57" s="33">
        <v>17.652173913043477</v>
      </c>
      <c r="T57" s="33">
        <v>12.772727272727273</v>
      </c>
      <c r="U57" s="33">
        <v>11.984126984126984</v>
      </c>
      <c r="V57" s="33">
        <v>14.211870892739427</v>
      </c>
    </row>
    <row r="58" spans="1:22">
      <c r="A58" s="168"/>
      <c r="B58" s="12"/>
      <c r="C58" s="12" t="s">
        <v>30</v>
      </c>
      <c r="D58" s="12"/>
      <c r="E58" s="12"/>
      <c r="F58" s="33">
        <v>10.358092646422165</v>
      </c>
      <c r="G58" s="33">
        <v>9.0988142292490117</v>
      </c>
      <c r="H58" s="33">
        <v>10.457692307692307</v>
      </c>
      <c r="I58" s="33">
        <v>14.84592469600039</v>
      </c>
      <c r="J58" s="33">
        <v>14.473684210526315</v>
      </c>
      <c r="K58" s="33">
        <v>13.666666666666666</v>
      </c>
      <c r="L58" s="33">
        <v>17.570075757575758</v>
      </c>
      <c r="M58" s="33">
        <v>12.833333333333334</v>
      </c>
      <c r="N58" s="33">
        <v>13.044415547234173</v>
      </c>
      <c r="O58" s="33">
        <v>17.588235294117649</v>
      </c>
      <c r="P58" s="33">
        <v>18.306513409961685</v>
      </c>
      <c r="Q58" s="33">
        <v>24.753086419753085</v>
      </c>
      <c r="R58" s="33">
        <v>14.007889546351084</v>
      </c>
      <c r="S58" s="33">
        <v>17.301587301587301</v>
      </c>
      <c r="T58" s="33">
        <v>14.838283828382838</v>
      </c>
      <c r="U58" s="33">
        <v>12.135338345864662</v>
      </c>
      <c r="V58" s="33">
        <v>13.857802100006429</v>
      </c>
    </row>
    <row r="59" spans="1:22">
      <c r="A59" s="168"/>
      <c r="B59" s="13"/>
      <c r="C59" s="13" t="s">
        <v>31</v>
      </c>
      <c r="D59" s="13"/>
      <c r="E59" s="13"/>
      <c r="F59" s="35">
        <v>0</v>
      </c>
      <c r="G59" s="35">
        <v>9.3531444367657226</v>
      </c>
      <c r="H59" s="35">
        <v>0</v>
      </c>
      <c r="I59" s="35">
        <v>0</v>
      </c>
      <c r="J59" s="35">
        <v>0</v>
      </c>
      <c r="K59" s="35">
        <v>0</v>
      </c>
      <c r="L59" s="35">
        <v>0</v>
      </c>
      <c r="M59" s="35">
        <v>0</v>
      </c>
      <c r="N59" s="35">
        <v>0</v>
      </c>
      <c r="O59" s="35">
        <v>0</v>
      </c>
      <c r="P59" s="35">
        <v>0</v>
      </c>
      <c r="Q59" s="35">
        <v>0</v>
      </c>
      <c r="R59" s="35">
        <v>0</v>
      </c>
      <c r="S59" s="35">
        <v>0</v>
      </c>
      <c r="T59" s="35">
        <v>0</v>
      </c>
      <c r="U59" s="35">
        <v>0</v>
      </c>
      <c r="V59" s="35">
        <v>9.3531444367657226</v>
      </c>
    </row>
    <row r="60" spans="1:22" ht="27" customHeight="1">
      <c r="A60" s="168"/>
      <c r="B60" s="183" t="s">
        <v>130</v>
      </c>
      <c r="C60" s="183"/>
      <c r="D60" s="183"/>
      <c r="E60" s="183"/>
      <c r="F60" s="36">
        <v>28.539811518993915</v>
      </c>
      <c r="G60" s="36">
        <v>30.256551555228999</v>
      </c>
      <c r="H60" s="36">
        <v>29.225426721600943</v>
      </c>
      <c r="I60" s="36">
        <v>26.151340253892585</v>
      </c>
      <c r="J60" s="36">
        <v>28.249572649572649</v>
      </c>
      <c r="K60" s="36">
        <v>29.342358078602619</v>
      </c>
      <c r="L60" s="36">
        <v>30.804522924411401</v>
      </c>
      <c r="M60" s="36">
        <v>36.783471074380166</v>
      </c>
      <c r="N60" s="36">
        <v>33.629314820146199</v>
      </c>
      <c r="O60" s="36">
        <v>33.328991246352643</v>
      </c>
      <c r="P60" s="36">
        <v>34.320264765784117</v>
      </c>
      <c r="Q60" s="36">
        <v>29.874759152215798</v>
      </c>
      <c r="R60" s="36">
        <v>28.779187817258883</v>
      </c>
      <c r="S60" s="36">
        <v>35.68781725888325</v>
      </c>
      <c r="T60" s="36">
        <v>27.740845070422534</v>
      </c>
      <c r="U60" s="36">
        <v>26.93907156673114</v>
      </c>
      <c r="V60" s="36">
        <v>30.907997091299542</v>
      </c>
    </row>
    <row r="61" spans="1:22">
      <c r="A61" s="168"/>
      <c r="B61" s="12"/>
      <c r="C61" s="12" t="s">
        <v>21</v>
      </c>
      <c r="D61" s="12"/>
      <c r="E61" s="12"/>
      <c r="F61" s="33">
        <v>32.684124689573373</v>
      </c>
      <c r="G61" s="33">
        <v>33.883197340586278</v>
      </c>
      <c r="H61" s="33">
        <v>31.641158989598811</v>
      </c>
      <c r="I61" s="33">
        <v>27.278072697971876</v>
      </c>
      <c r="J61" s="33">
        <v>28.987364620938628</v>
      </c>
      <c r="K61" s="33">
        <v>29.946146703806871</v>
      </c>
      <c r="L61" s="33">
        <v>31.512577589023195</v>
      </c>
      <c r="M61" s="33">
        <v>37.292020373514433</v>
      </c>
      <c r="N61" s="33">
        <v>34.207082382436084</v>
      </c>
      <c r="O61" s="33">
        <v>35.618580150844011</v>
      </c>
      <c r="P61" s="33">
        <v>35.751764705882351</v>
      </c>
      <c r="Q61" s="33">
        <v>30.309572301425661</v>
      </c>
      <c r="R61" s="33">
        <v>29.951125755079627</v>
      </c>
      <c r="S61" s="33">
        <v>36.687585266030013</v>
      </c>
      <c r="T61" s="33">
        <v>28.150493898895991</v>
      </c>
      <c r="U61" s="33">
        <v>26.941414141414143</v>
      </c>
      <c r="V61" s="33">
        <v>33.053388814849122</v>
      </c>
    </row>
    <row r="62" spans="1:22">
      <c r="A62" s="168"/>
      <c r="B62" s="12"/>
      <c r="C62" s="12"/>
      <c r="D62" s="12" t="s">
        <v>22</v>
      </c>
      <c r="E62" s="12"/>
      <c r="F62" s="33">
        <v>32.684124689573373</v>
      </c>
      <c r="G62" s="33">
        <v>33.883197340586278</v>
      </c>
      <c r="H62" s="33">
        <v>31.643678160919539</v>
      </c>
      <c r="I62" s="33">
        <v>27.278072697971876</v>
      </c>
      <c r="J62" s="33">
        <v>29.468330134357007</v>
      </c>
      <c r="K62" s="33">
        <v>30.370829361296472</v>
      </c>
      <c r="L62" s="33">
        <v>31.512577589023195</v>
      </c>
      <c r="M62" s="33">
        <v>37.88073394495413</v>
      </c>
      <c r="N62" s="33">
        <v>34.254467073855096</v>
      </c>
      <c r="O62" s="33">
        <v>35.618580150844011</v>
      </c>
      <c r="P62" s="33">
        <v>35.751764705882351</v>
      </c>
      <c r="Q62" s="33">
        <v>30.309572301425661</v>
      </c>
      <c r="R62" s="33">
        <v>29.771205357142858</v>
      </c>
      <c r="S62" s="33">
        <v>36.687585266030013</v>
      </c>
      <c r="T62" s="33">
        <v>28.114421930870083</v>
      </c>
      <c r="U62" s="33">
        <v>26.941414141414143</v>
      </c>
      <c r="V62" s="33">
        <v>33.08407131900745</v>
      </c>
    </row>
    <row r="63" spans="1:22">
      <c r="A63" s="168"/>
      <c r="B63" s="12"/>
      <c r="C63" s="12"/>
      <c r="D63" s="12" t="s">
        <v>23</v>
      </c>
      <c r="E63" s="12"/>
      <c r="F63" s="33">
        <v>0</v>
      </c>
      <c r="G63" s="33">
        <v>0</v>
      </c>
      <c r="H63" s="33">
        <v>31.560975609756099</v>
      </c>
      <c r="I63" s="33">
        <v>0</v>
      </c>
      <c r="J63" s="33">
        <v>21.393939393939394</v>
      </c>
      <c r="K63" s="33">
        <v>14.035714285714286</v>
      </c>
      <c r="L63" s="33">
        <v>0</v>
      </c>
      <c r="M63" s="33">
        <v>30</v>
      </c>
      <c r="N63" s="33">
        <v>21.468418227585214</v>
      </c>
      <c r="O63" s="33">
        <v>0</v>
      </c>
      <c r="P63" s="33">
        <v>0</v>
      </c>
      <c r="Q63" s="33">
        <v>0</v>
      </c>
      <c r="R63" s="33">
        <v>41.068965517241381</v>
      </c>
      <c r="S63" s="33">
        <v>0</v>
      </c>
      <c r="T63" s="33">
        <v>29.558139534883722</v>
      </c>
      <c r="U63" s="33">
        <v>0</v>
      </c>
      <c r="V63" s="33">
        <v>27.89068618418456</v>
      </c>
    </row>
    <row r="64" spans="1:22">
      <c r="A64" s="168"/>
      <c r="B64" s="12"/>
      <c r="C64" s="12" t="s">
        <v>25</v>
      </c>
      <c r="D64" s="12"/>
      <c r="E64" s="12"/>
      <c r="F64" s="33">
        <v>0</v>
      </c>
      <c r="G64" s="33">
        <v>0</v>
      </c>
      <c r="H64" s="33">
        <v>0</v>
      </c>
      <c r="I64" s="33">
        <v>0</v>
      </c>
      <c r="J64" s="33">
        <v>0</v>
      </c>
      <c r="K64" s="33">
        <v>0</v>
      </c>
      <c r="L64" s="33">
        <v>0</v>
      </c>
      <c r="M64" s="33">
        <v>0</v>
      </c>
      <c r="N64" s="33">
        <v>0</v>
      </c>
      <c r="O64" s="33">
        <v>0</v>
      </c>
      <c r="P64" s="33">
        <v>0</v>
      </c>
      <c r="Q64" s="33">
        <v>0</v>
      </c>
      <c r="R64" s="33">
        <v>0</v>
      </c>
      <c r="S64" s="33">
        <v>0</v>
      </c>
      <c r="T64" s="33">
        <v>0</v>
      </c>
      <c r="U64" s="33">
        <v>0</v>
      </c>
      <c r="V64" s="33">
        <v>0</v>
      </c>
    </row>
    <row r="65" spans="1:28">
      <c r="A65" s="168"/>
      <c r="B65" s="12"/>
      <c r="C65" s="12" t="s">
        <v>26</v>
      </c>
      <c r="D65" s="12"/>
      <c r="E65" s="12"/>
      <c r="F65" s="33">
        <v>17.337327034387847</v>
      </c>
      <c r="G65" s="33">
        <v>11.644444444444444</v>
      </c>
      <c r="H65" s="33">
        <v>0</v>
      </c>
      <c r="I65" s="33">
        <v>0</v>
      </c>
      <c r="J65" s="33">
        <v>17</v>
      </c>
      <c r="K65" s="33">
        <v>9.1999999999999993</v>
      </c>
      <c r="L65" s="33">
        <v>0</v>
      </c>
      <c r="M65" s="33">
        <v>20</v>
      </c>
      <c r="N65" s="33">
        <v>28.057479474356601</v>
      </c>
      <c r="O65" s="33">
        <v>0</v>
      </c>
      <c r="P65" s="33">
        <v>0</v>
      </c>
      <c r="Q65" s="33">
        <v>0</v>
      </c>
      <c r="R65" s="33">
        <v>12.3125</v>
      </c>
      <c r="S65" s="33">
        <v>29</v>
      </c>
      <c r="T65" s="33">
        <v>0</v>
      </c>
      <c r="U65" s="33">
        <v>51.272727272727273</v>
      </c>
      <c r="V65" s="33">
        <v>17.593571145791103</v>
      </c>
    </row>
    <row r="66" spans="1:28">
      <c r="A66" s="168"/>
      <c r="B66" s="12"/>
      <c r="C66" s="12" t="s">
        <v>27</v>
      </c>
      <c r="D66" s="12"/>
      <c r="E66" s="12"/>
      <c r="F66" s="33">
        <v>0</v>
      </c>
      <c r="G66" s="33">
        <v>9</v>
      </c>
      <c r="H66" s="33">
        <v>4</v>
      </c>
      <c r="I66" s="33">
        <v>0</v>
      </c>
      <c r="J66" s="33">
        <v>0</v>
      </c>
      <c r="K66" s="33">
        <v>0</v>
      </c>
      <c r="L66" s="33">
        <v>0</v>
      </c>
      <c r="M66" s="33">
        <v>0</v>
      </c>
      <c r="N66" s="33">
        <v>0</v>
      </c>
      <c r="O66" s="33">
        <v>0</v>
      </c>
      <c r="P66" s="33">
        <v>24.692307692307693</v>
      </c>
      <c r="Q66" s="33">
        <v>0</v>
      </c>
      <c r="R66" s="33">
        <v>0</v>
      </c>
      <c r="S66" s="33">
        <v>0</v>
      </c>
      <c r="T66" s="33">
        <v>0</v>
      </c>
      <c r="U66" s="33">
        <v>0</v>
      </c>
      <c r="V66" s="33">
        <v>20.117647058823529</v>
      </c>
    </row>
    <row r="67" spans="1:28">
      <c r="A67" s="168"/>
      <c r="B67" s="12"/>
      <c r="C67" s="12" t="s">
        <v>29</v>
      </c>
      <c r="D67" s="12"/>
      <c r="E67" s="12"/>
      <c r="F67" s="33">
        <v>0</v>
      </c>
      <c r="G67" s="33">
        <v>14.641414141414142</v>
      </c>
      <c r="H67" s="33">
        <v>5</v>
      </c>
      <c r="I67" s="33">
        <v>0</v>
      </c>
      <c r="J67" s="33">
        <v>19.600000000000001</v>
      </c>
      <c r="K67" s="33">
        <v>0</v>
      </c>
      <c r="L67" s="33">
        <v>19</v>
      </c>
      <c r="M67" s="33">
        <v>0</v>
      </c>
      <c r="N67" s="33">
        <v>37.353496945884004</v>
      </c>
      <c r="O67" s="33">
        <v>18.65947242206235</v>
      </c>
      <c r="P67" s="33">
        <v>0</v>
      </c>
      <c r="Q67" s="33">
        <v>13.5</v>
      </c>
      <c r="R67" s="33">
        <v>0</v>
      </c>
      <c r="S67" s="33">
        <v>0</v>
      </c>
      <c r="T67" s="33">
        <v>14</v>
      </c>
      <c r="U67" s="33">
        <v>0</v>
      </c>
      <c r="V67" s="33">
        <v>17.672836157582246</v>
      </c>
    </row>
    <row r="68" spans="1:28">
      <c r="A68" s="168"/>
      <c r="B68" s="12"/>
      <c r="C68" s="12" t="s">
        <v>30</v>
      </c>
      <c r="D68" s="12"/>
      <c r="E68" s="12"/>
      <c r="F68" s="33">
        <v>20.763946711074105</v>
      </c>
      <c r="G68" s="33">
        <v>20.931506849315067</v>
      </c>
      <c r="H68" s="33">
        <v>20.371014492753623</v>
      </c>
      <c r="I68" s="33">
        <v>17.44758914051798</v>
      </c>
      <c r="J68" s="33">
        <v>12.473684210526315</v>
      </c>
      <c r="K68" s="33">
        <v>20.61904761904762</v>
      </c>
      <c r="L68" s="33">
        <v>17.79754601226994</v>
      </c>
      <c r="M68" s="33">
        <v>17.615384615384617</v>
      </c>
      <c r="N68" s="33">
        <v>18.778771444871257</v>
      </c>
      <c r="O68" s="33">
        <v>17.581113801452783</v>
      </c>
      <c r="P68" s="33">
        <v>25.123505976095618</v>
      </c>
      <c r="Q68" s="33">
        <v>22.923076923076923</v>
      </c>
      <c r="R68" s="33">
        <v>15.475247524752476</v>
      </c>
      <c r="S68" s="33">
        <v>21.98076923076923</v>
      </c>
      <c r="T68" s="33">
        <v>14.69811320754717</v>
      </c>
      <c r="U68" s="33">
        <v>18.757575757575758</v>
      </c>
      <c r="V68" s="33">
        <v>19.314322153725264</v>
      </c>
    </row>
    <row r="69" spans="1:28">
      <c r="A69" s="168"/>
      <c r="B69" s="13"/>
      <c r="C69" s="13" t="s">
        <v>31</v>
      </c>
      <c r="D69" s="13"/>
      <c r="E69" s="13"/>
      <c r="F69" s="35">
        <v>0</v>
      </c>
      <c r="G69" s="35">
        <v>11.209302325581396</v>
      </c>
      <c r="H69" s="35">
        <v>0</v>
      </c>
      <c r="I69" s="35">
        <v>0</v>
      </c>
      <c r="J69" s="35">
        <v>0</v>
      </c>
      <c r="K69" s="35">
        <v>0</v>
      </c>
      <c r="L69" s="35">
        <v>0</v>
      </c>
      <c r="M69" s="35">
        <v>0</v>
      </c>
      <c r="N69" s="35">
        <v>0</v>
      </c>
      <c r="O69" s="35">
        <v>0</v>
      </c>
      <c r="P69" s="35">
        <v>0</v>
      </c>
      <c r="Q69" s="35">
        <v>0</v>
      </c>
      <c r="R69" s="35">
        <v>0</v>
      </c>
      <c r="S69" s="35">
        <v>0</v>
      </c>
      <c r="T69" s="35">
        <v>0</v>
      </c>
      <c r="U69" s="35">
        <v>0</v>
      </c>
      <c r="V69" s="35">
        <v>11.209302325581396</v>
      </c>
    </row>
    <row r="70" spans="1:28">
      <c r="A70" s="168"/>
      <c r="B70" s="171" t="s">
        <v>33</v>
      </c>
      <c r="C70" s="171"/>
      <c r="D70" s="171"/>
      <c r="E70" s="17" t="s">
        <v>181</v>
      </c>
      <c r="F70" s="17"/>
      <c r="G70" s="17"/>
      <c r="H70" s="17"/>
      <c r="I70" s="17"/>
      <c r="J70" s="17"/>
      <c r="K70" s="17"/>
      <c r="L70" s="17"/>
      <c r="M70" s="17"/>
      <c r="N70" s="17"/>
      <c r="O70" s="17"/>
      <c r="P70" s="17"/>
      <c r="Q70" s="17"/>
      <c r="R70" s="17"/>
      <c r="S70" s="17"/>
      <c r="T70" s="17"/>
      <c r="U70" s="17"/>
      <c r="V70" s="25"/>
    </row>
    <row r="71" spans="1:28">
      <c r="A71" s="168"/>
      <c r="B71" s="140"/>
      <c r="C71" s="140"/>
      <c r="D71" s="140"/>
      <c r="E71" s="167" t="s">
        <v>200</v>
      </c>
      <c r="F71" s="167"/>
      <c r="G71" s="167"/>
      <c r="H71" s="167"/>
      <c r="I71" s="167"/>
      <c r="J71" s="167"/>
      <c r="K71" s="167"/>
      <c r="L71" s="167"/>
      <c r="M71" s="167"/>
      <c r="N71" s="167"/>
      <c r="O71" s="167"/>
      <c r="P71" s="167"/>
      <c r="Q71" s="167"/>
      <c r="R71" s="167"/>
      <c r="S71" s="167"/>
      <c r="T71" s="167"/>
      <c r="U71" s="167"/>
      <c r="V71" s="167"/>
      <c r="W71" s="157"/>
      <c r="X71" s="157"/>
      <c r="Y71" s="157"/>
      <c r="Z71" s="157"/>
      <c r="AA71" s="157"/>
      <c r="AB71" s="157"/>
    </row>
    <row r="72" spans="1:28">
      <c r="A72" s="168"/>
      <c r="E72" s="180" t="s">
        <v>32</v>
      </c>
      <c r="F72" s="180"/>
      <c r="G72" s="180"/>
      <c r="H72" s="180"/>
      <c r="I72" s="180"/>
      <c r="J72" s="180"/>
      <c r="K72" s="180"/>
      <c r="L72" s="180"/>
      <c r="M72" s="180"/>
      <c r="N72" s="180"/>
      <c r="O72" s="180"/>
      <c r="P72" s="180"/>
    </row>
  </sheetData>
  <mergeCells count="10">
    <mergeCell ref="A1:A36"/>
    <mergeCell ref="A37:A72"/>
    <mergeCell ref="E72:P72"/>
    <mergeCell ref="B1:E1"/>
    <mergeCell ref="B5:E5"/>
    <mergeCell ref="B30:E30"/>
    <mergeCell ref="B49:E49"/>
    <mergeCell ref="B60:E60"/>
    <mergeCell ref="B70:D70"/>
    <mergeCell ref="E71:V71"/>
  </mergeCells>
  <hyperlinks>
    <hyperlink ref="E71:V71" location="Leer!Druckbereich" display="Ab 2024 gelten für die Schularten des Sek-I-Bereichs neue Bezeichnungen bzw. Zusätze. Zudem kommt es bei den Hauptschulen, Schularten mit zwei Bildungsgängen und Schularten mit drei Bildungsgängen zu Neuzuordnungen." xr:uid="{395B8235-91FF-4A74-9065-987FA76A5AA8}"/>
  </hyperlinks>
  <printOptions verticalCentered="1"/>
  <pageMargins left="0.23622047244094491" right="0.23622047244094491" top="0.74803149606299213" bottom="0.74803149606299213" header="0.31496062992125984" footer="0.31496062992125984"/>
  <pageSetup paperSize="9" scale="97" orientation="landscape" r:id="rId1"/>
  <rowBreaks count="1" manualBreakCount="1">
    <brk id="36"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19"/>
  <dimension ref="A1:AB73"/>
  <sheetViews>
    <sheetView view="pageBreakPreview" topLeftCell="A56" zoomScale="140" zoomScaleNormal="100" zoomScaleSheetLayoutView="140" workbookViewId="0">
      <selection activeCell="J27" sqref="J27"/>
    </sheetView>
  </sheetViews>
  <sheetFormatPr baseColWidth="10" defaultRowHeight="12.75"/>
  <cols>
    <col min="1" max="1" width="2.7109375" customWidth="1"/>
    <col min="2" max="2" width="3.7109375" customWidth="1"/>
    <col min="3" max="4" width="2.7109375" customWidth="1"/>
    <col min="5" max="5" width="27.28515625" customWidth="1"/>
    <col min="6" max="18" width="9.7109375" hidden="1" customWidth="1"/>
    <col min="19" max="28" width="9.7109375" customWidth="1"/>
  </cols>
  <sheetData>
    <row r="1" spans="1:28" ht="13.5">
      <c r="A1" s="168">
        <v>77</v>
      </c>
      <c r="B1" s="169" t="s">
        <v>0</v>
      </c>
      <c r="C1" s="169"/>
      <c r="D1" s="169"/>
      <c r="E1" s="169"/>
    </row>
    <row r="2" spans="1:28" ht="13.5">
      <c r="A2" s="168"/>
      <c r="B2" s="4" t="s">
        <v>69</v>
      </c>
      <c r="C2" s="4"/>
      <c r="D2" s="4" t="s">
        <v>154</v>
      </c>
      <c r="E2" s="4"/>
    </row>
    <row r="3" spans="1:28" ht="13.5">
      <c r="A3" s="168"/>
      <c r="B3" s="5" t="s">
        <v>70</v>
      </c>
      <c r="C3" s="4"/>
      <c r="D3" s="4" t="s">
        <v>185</v>
      </c>
      <c r="E3" s="4"/>
    </row>
    <row r="4" spans="1:28" ht="10.5" customHeight="1">
      <c r="A4" s="168"/>
    </row>
    <row r="5" spans="1:28" s="6" customFormat="1" ht="18.75" customHeight="1">
      <c r="A5" s="168"/>
      <c r="B5" s="170" t="s">
        <v>126</v>
      </c>
      <c r="C5" s="170"/>
      <c r="D5" s="170"/>
      <c r="E5" s="170"/>
      <c r="F5" s="8">
        <v>2002</v>
      </c>
      <c r="G5" s="8">
        <v>2003</v>
      </c>
      <c r="H5" s="8">
        <v>2004</v>
      </c>
      <c r="I5" s="8">
        <v>2005</v>
      </c>
      <c r="J5" s="8">
        <v>2006</v>
      </c>
      <c r="K5" s="8">
        <v>2007</v>
      </c>
      <c r="L5" s="8">
        <v>2008</v>
      </c>
      <c r="M5" s="8">
        <v>2009</v>
      </c>
      <c r="N5" s="8">
        <v>2010</v>
      </c>
      <c r="O5" s="8">
        <v>2011</v>
      </c>
      <c r="P5" s="8">
        <v>2012</v>
      </c>
      <c r="Q5" s="8">
        <v>2013</v>
      </c>
      <c r="R5" s="8">
        <v>2014</v>
      </c>
      <c r="S5" s="8">
        <v>2015</v>
      </c>
      <c r="T5" s="8">
        <v>2016</v>
      </c>
      <c r="U5" s="8">
        <v>2017</v>
      </c>
      <c r="V5" s="8">
        <v>2018</v>
      </c>
      <c r="W5" s="8">
        <v>2019</v>
      </c>
      <c r="X5" s="8">
        <v>2020</v>
      </c>
      <c r="Y5" s="8">
        <v>2021</v>
      </c>
      <c r="Z5" s="8">
        <v>2022</v>
      </c>
      <c r="AA5" s="8">
        <v>2023</v>
      </c>
      <c r="AB5" s="8">
        <v>2024</v>
      </c>
    </row>
    <row r="6" spans="1:28" ht="13.5">
      <c r="A6" s="168"/>
      <c r="B6" s="9" t="s">
        <v>120</v>
      </c>
      <c r="C6" s="9"/>
      <c r="D6" s="9"/>
      <c r="E6" s="16"/>
      <c r="F6" s="69">
        <v>1.3609958696377302</v>
      </c>
      <c r="G6" s="69">
        <v>1.3719200803497626</v>
      </c>
      <c r="H6" s="69">
        <v>1.3786011718321138</v>
      </c>
      <c r="I6" s="69">
        <v>1.3806697802159777</v>
      </c>
      <c r="J6" s="69">
        <v>1.3948508571631495</v>
      </c>
      <c r="K6" s="69">
        <v>1.4031819856320216</v>
      </c>
      <c r="L6" s="69">
        <v>1.4145352058204574</v>
      </c>
      <c r="M6" s="69">
        <v>1.4370794266183622</v>
      </c>
      <c r="N6" s="69">
        <v>1.4625520399374488</v>
      </c>
      <c r="O6" s="69">
        <v>1.4824125174402709</v>
      </c>
      <c r="P6" s="69">
        <v>1.4985927811588644</v>
      </c>
      <c r="Q6" s="69">
        <v>1.5152126309918226</v>
      </c>
      <c r="R6" s="69">
        <v>1.5251822573448599</v>
      </c>
      <c r="S6" s="69">
        <v>1.5317216607092061</v>
      </c>
      <c r="T6" s="69">
        <v>1.5293686854527999</v>
      </c>
      <c r="U6" s="69">
        <v>1.5467973224033953</v>
      </c>
      <c r="V6" s="69">
        <v>1.5589098791481815</v>
      </c>
      <c r="W6" s="69">
        <v>1.5757177754139065</v>
      </c>
      <c r="X6" s="69">
        <v>1.5779795094904798</v>
      </c>
      <c r="Y6" s="69">
        <v>1.5829441806125792</v>
      </c>
      <c r="Z6" s="69">
        <v>1.5746471978406089</v>
      </c>
      <c r="AA6" s="69">
        <v>1.589347729330397</v>
      </c>
      <c r="AB6" s="69">
        <v>1.5931474649256594</v>
      </c>
    </row>
    <row r="7" spans="1:28" ht="13.5">
      <c r="A7" s="168"/>
      <c r="B7" s="10" t="s">
        <v>119</v>
      </c>
      <c r="C7" s="10"/>
      <c r="D7" s="10"/>
      <c r="E7" s="9"/>
      <c r="F7" s="70">
        <v>1.4781975491268828</v>
      </c>
      <c r="G7" s="70">
        <v>1.489537818002898</v>
      </c>
      <c r="H7" s="70">
        <v>1.4982055551197608</v>
      </c>
      <c r="I7" s="70">
        <v>1.50088921804999</v>
      </c>
      <c r="J7" s="70">
        <v>1.5201992482372442</v>
      </c>
      <c r="K7" s="70">
        <v>1.5372457469243119</v>
      </c>
      <c r="L7" s="70">
        <v>1.5562266909954363</v>
      </c>
      <c r="M7" s="70">
        <v>1.5833765255452246</v>
      </c>
      <c r="N7" s="70">
        <v>1.6081188113551279</v>
      </c>
      <c r="O7" s="70">
        <v>1.6268703374483244</v>
      </c>
      <c r="P7" s="70">
        <v>1.6453149892618557</v>
      </c>
      <c r="Q7" s="70">
        <v>1.6665253367493018</v>
      </c>
      <c r="R7" s="70">
        <v>1.677166893533971</v>
      </c>
      <c r="S7" s="70">
        <v>1.6834457224743169</v>
      </c>
      <c r="T7" s="70">
        <v>1.6781810387558866</v>
      </c>
      <c r="U7" s="70">
        <v>1.6971215110507138</v>
      </c>
      <c r="V7" s="70">
        <v>1.7089879867471189</v>
      </c>
      <c r="W7" s="70">
        <v>1.7274792362333098</v>
      </c>
      <c r="X7" s="70">
        <v>1.7211119794578071</v>
      </c>
      <c r="Y7" s="70">
        <v>1.7229668162393119</v>
      </c>
      <c r="Z7" s="70">
        <v>1.7010403116499602</v>
      </c>
      <c r="AA7" s="70">
        <v>1.7160685919223844</v>
      </c>
      <c r="AB7" s="70">
        <v>1.7222122553092769</v>
      </c>
    </row>
    <row r="8" spans="1:28" ht="13.5">
      <c r="A8" s="168"/>
      <c r="B8" s="11" t="s">
        <v>3</v>
      </c>
      <c r="C8" s="11"/>
      <c r="D8" s="11"/>
      <c r="E8" s="11"/>
      <c r="F8" s="69">
        <v>3.535704638599106</v>
      </c>
      <c r="G8" s="69">
        <v>3.598176206836313</v>
      </c>
      <c r="H8" s="69">
        <v>3.6796201250203531</v>
      </c>
      <c r="I8" s="69">
        <v>3.7497238365458307</v>
      </c>
      <c r="J8" s="69">
        <v>3.767205530274627</v>
      </c>
      <c r="K8" s="69">
        <v>3.8147422945611753</v>
      </c>
      <c r="L8" s="69">
        <v>3.8995402690277543</v>
      </c>
      <c r="M8" s="69">
        <v>3.9215094689936874</v>
      </c>
      <c r="N8" s="69">
        <v>3.9739522970348378</v>
      </c>
      <c r="O8" s="69">
        <v>4.0397149450807861</v>
      </c>
      <c r="P8" s="69">
        <v>4.0825789338822265</v>
      </c>
      <c r="Q8" s="69">
        <v>4.1695214406584666</v>
      </c>
      <c r="R8" s="69">
        <v>4.2044233926577785</v>
      </c>
      <c r="S8" s="69">
        <v>4.2055329534575572</v>
      </c>
      <c r="T8" s="69">
        <v>4.180780100283596</v>
      </c>
      <c r="U8" s="69">
        <v>4.2308485769399544</v>
      </c>
      <c r="V8" s="69">
        <v>4.2131468073076421</v>
      </c>
      <c r="W8" s="69">
        <v>4.211273942120922</v>
      </c>
      <c r="X8" s="69">
        <v>4.2046392013489742</v>
      </c>
      <c r="Y8" s="69">
        <v>4.2175655276230621</v>
      </c>
      <c r="Z8" s="69">
        <v>4.274377974489358</v>
      </c>
      <c r="AA8" s="69">
        <v>4.3075790081977452</v>
      </c>
      <c r="AB8" s="69">
        <v>4.298373737949917</v>
      </c>
    </row>
    <row r="9" spans="1:28" ht="13.5">
      <c r="A9" s="168"/>
      <c r="B9" s="12"/>
      <c r="C9" s="12" t="s">
        <v>4</v>
      </c>
      <c r="D9" s="12"/>
      <c r="E9" s="12"/>
      <c r="F9" s="72">
        <v>2.6185914907977055</v>
      </c>
      <c r="G9" s="72">
        <v>2.6498479765149927</v>
      </c>
      <c r="H9" s="72">
        <v>2.8100302738729437</v>
      </c>
      <c r="I9" s="72">
        <v>2.8664156970111794</v>
      </c>
      <c r="J9" s="72">
        <v>2.9037376869659526</v>
      </c>
      <c r="K9" s="72">
        <v>2.9465508983369904</v>
      </c>
      <c r="L9" s="72">
        <v>3.0491546521889044</v>
      </c>
      <c r="M9" s="72">
        <v>3.0893164302810305</v>
      </c>
      <c r="N9" s="72">
        <v>3.1302740097316692</v>
      </c>
      <c r="O9" s="72">
        <v>3.2049685536837562</v>
      </c>
      <c r="P9" s="72">
        <v>3.1442673687761733</v>
      </c>
      <c r="Q9" s="72">
        <v>3.2568290353390639</v>
      </c>
      <c r="R9" s="72">
        <v>3.347809287915009</v>
      </c>
      <c r="S9" s="72">
        <v>3.3313261155983276</v>
      </c>
      <c r="T9" s="72">
        <v>3.343145173611465</v>
      </c>
      <c r="U9" s="72">
        <v>3.432920653971467</v>
      </c>
      <c r="V9" s="72">
        <v>3.4363206019061932</v>
      </c>
      <c r="W9" s="72">
        <v>3.3806075479015036</v>
      </c>
      <c r="X9" s="72">
        <v>3.3175575217566537</v>
      </c>
      <c r="Y9" s="72">
        <v>3.3230772404094626</v>
      </c>
      <c r="Z9" s="72">
        <v>3.2964881857221857</v>
      </c>
      <c r="AA9" s="72">
        <v>3.3368899776842254</v>
      </c>
      <c r="AB9" s="72">
        <v>3.2747341543558783</v>
      </c>
    </row>
    <row r="10" spans="1:28" ht="13.5">
      <c r="A10" s="168"/>
      <c r="B10" s="13"/>
      <c r="C10" s="13" t="s">
        <v>5</v>
      </c>
      <c r="D10" s="13"/>
      <c r="E10" s="13"/>
      <c r="F10" s="72">
        <v>4.3259472925134395</v>
      </c>
      <c r="G10" s="72">
        <v>4.4157764216892117</v>
      </c>
      <c r="H10" s="72">
        <v>4.3157629226067318</v>
      </c>
      <c r="I10" s="72">
        <v>4.3485786572609388</v>
      </c>
      <c r="J10" s="72">
        <v>4.3099713945172828</v>
      </c>
      <c r="K10" s="72">
        <v>4.3282483189567342</v>
      </c>
      <c r="L10" s="72">
        <v>4.3696678628281571</v>
      </c>
      <c r="M10" s="72">
        <v>4.3604302474279173</v>
      </c>
      <c r="N10" s="72">
        <v>4.4070343194417037</v>
      </c>
      <c r="O10" s="72">
        <v>4.448966881307614</v>
      </c>
      <c r="P10" s="72">
        <v>4.5309980437683972</v>
      </c>
      <c r="Q10" s="72">
        <v>4.5653527971594325</v>
      </c>
      <c r="R10" s="72">
        <v>4.5318684026779481</v>
      </c>
      <c r="S10" s="72">
        <v>4.5051076201382374</v>
      </c>
      <c r="T10" s="72">
        <v>4.4401459022441578</v>
      </c>
      <c r="U10" s="72">
        <v>4.4247623911905754</v>
      </c>
      <c r="V10" s="72">
        <v>4.3947592409171259</v>
      </c>
      <c r="W10" s="72">
        <v>4.4126679629156369</v>
      </c>
      <c r="X10" s="72">
        <v>4.5447633212613709</v>
      </c>
      <c r="Y10" s="72">
        <v>4.5668628608367134</v>
      </c>
      <c r="Z10" s="72">
        <v>4.6586906273348792</v>
      </c>
      <c r="AA10" s="72">
        <v>4.6866472318562042</v>
      </c>
      <c r="AB10" s="72">
        <v>4.6973934784741234</v>
      </c>
    </row>
    <row r="11" spans="1:28" ht="13.5" hidden="1">
      <c r="A11" s="168"/>
      <c r="B11" s="13"/>
      <c r="C11" s="13"/>
      <c r="D11" s="13"/>
      <c r="E11" s="13"/>
      <c r="F11" s="72"/>
      <c r="G11" s="72"/>
      <c r="H11" s="72"/>
      <c r="I11" s="72"/>
      <c r="J11" s="143"/>
      <c r="K11" s="143"/>
      <c r="L11" s="143"/>
      <c r="M11" s="143"/>
      <c r="N11" s="143"/>
      <c r="O11" s="143"/>
      <c r="P11" s="143"/>
      <c r="Q11" s="143"/>
      <c r="R11" s="143"/>
      <c r="S11" s="143"/>
      <c r="T11" s="143"/>
      <c r="U11" s="143"/>
      <c r="V11" s="143"/>
      <c r="W11" s="143"/>
      <c r="X11" s="143"/>
      <c r="Y11" s="143"/>
      <c r="Z11" s="143"/>
      <c r="AA11" s="143"/>
      <c r="AB11" s="143"/>
    </row>
    <row r="12" spans="1:28" ht="13.5">
      <c r="A12" s="168"/>
      <c r="B12" s="11" t="s">
        <v>6</v>
      </c>
      <c r="C12" s="11"/>
      <c r="D12" s="11"/>
      <c r="E12" s="11"/>
      <c r="F12" s="71">
        <v>2.1928559694818115</v>
      </c>
      <c r="G12" s="71">
        <v>2.1953863257365205</v>
      </c>
      <c r="H12" s="71">
        <v>2.266300045827605</v>
      </c>
      <c r="I12" s="71">
        <v>2.6113480432962097</v>
      </c>
      <c r="J12" s="71">
        <v>2.6795498348017621</v>
      </c>
      <c r="K12" s="71">
        <v>2.8409866363377878</v>
      </c>
      <c r="L12" s="71">
        <v>2.7888026212693213</v>
      </c>
      <c r="M12" s="71">
        <v>2.8086481827323659</v>
      </c>
      <c r="N12" s="71">
        <v>2.7060272736736182</v>
      </c>
      <c r="O12" s="71">
        <v>2.6606990529276722</v>
      </c>
      <c r="P12" s="71">
        <v>2.7639546563351987</v>
      </c>
      <c r="Q12" s="71">
        <v>2.7666811091854417</v>
      </c>
      <c r="R12" s="71">
        <v>2.7729501141424349</v>
      </c>
      <c r="S12" s="71">
        <v>2.7442922970147676</v>
      </c>
      <c r="T12" s="71">
        <v>2.7336063593312065</v>
      </c>
      <c r="U12" s="71">
        <v>2.6949280039721946</v>
      </c>
      <c r="V12" s="71">
        <v>2.755128506890399</v>
      </c>
      <c r="W12" s="71">
        <v>2.779845671207223</v>
      </c>
      <c r="X12" s="71">
        <v>2.7833531055068694</v>
      </c>
      <c r="Y12" s="71">
        <v>2.762328973086754</v>
      </c>
      <c r="Z12" s="71">
        <v>2.7022814793286347</v>
      </c>
      <c r="AA12" s="71">
        <v>2.6306106154754052</v>
      </c>
      <c r="AB12" s="71">
        <v>2.6017705308093357</v>
      </c>
    </row>
    <row r="13" spans="1:28" ht="13.5">
      <c r="A13" s="168"/>
      <c r="B13" s="12"/>
      <c r="C13" s="12" t="s">
        <v>7</v>
      </c>
      <c r="D13" s="12"/>
      <c r="E13" s="12"/>
      <c r="F13" s="72">
        <v>1.438845553822153</v>
      </c>
      <c r="G13" s="72">
        <v>1.3732906754734506</v>
      </c>
      <c r="H13" s="72">
        <v>1.3729177861364859</v>
      </c>
      <c r="I13" s="72">
        <v>1.2576200915419964</v>
      </c>
      <c r="J13" s="72">
        <v>1.3494669770861414</v>
      </c>
      <c r="K13" s="72">
        <v>1.5502030685920578</v>
      </c>
      <c r="L13" s="72">
        <v>1.4723594989081714</v>
      </c>
      <c r="M13" s="72">
        <v>1.5255287331766716</v>
      </c>
      <c r="N13" s="72">
        <v>1.496595832473695</v>
      </c>
      <c r="O13" s="72">
        <v>1.421438257454033</v>
      </c>
      <c r="P13" s="72">
        <v>1.6427149681528663</v>
      </c>
      <c r="Q13" s="72">
        <v>1.5315094339622641</v>
      </c>
      <c r="R13" s="72">
        <v>1.5647728368862737</v>
      </c>
      <c r="S13" s="72">
        <v>1.5435725276778165</v>
      </c>
      <c r="T13" s="72">
        <v>1.5676496227492709</v>
      </c>
      <c r="U13" s="72">
        <v>1.6374834968777878</v>
      </c>
      <c r="V13" s="72">
        <v>1.5722098022355977</v>
      </c>
      <c r="W13" s="72">
        <v>1.570777464682187</v>
      </c>
      <c r="X13" s="72">
        <v>1.565336861388154</v>
      </c>
      <c r="Y13" s="72">
        <v>1.5712238463743193</v>
      </c>
      <c r="Z13" s="72">
        <v>1.5767403617759912</v>
      </c>
      <c r="AA13" s="72">
        <v>1.5775517301338897</v>
      </c>
      <c r="AB13" s="72">
        <v>1.5667799034507419</v>
      </c>
    </row>
    <row r="14" spans="1:28" ht="13.5">
      <c r="A14" s="168"/>
      <c r="B14" s="13"/>
      <c r="C14" s="13" t="s">
        <v>8</v>
      </c>
      <c r="D14" s="13"/>
      <c r="E14" s="13"/>
      <c r="F14" s="72">
        <v>2.600641223950277</v>
      </c>
      <c r="G14" s="72">
        <v>2.6559509699054669</v>
      </c>
      <c r="H14" s="72">
        <v>2.8318818886923389</v>
      </c>
      <c r="I14" s="72">
        <v>3.1195364540560271</v>
      </c>
      <c r="J14" s="72">
        <v>3.1990428332136873</v>
      </c>
      <c r="K14" s="72">
        <v>3.4346720630967207</v>
      </c>
      <c r="L14" s="72">
        <v>3.3799349744542497</v>
      </c>
      <c r="M14" s="72">
        <v>3.4586083757169139</v>
      </c>
      <c r="N14" s="72">
        <v>3.3190588235294118</v>
      </c>
      <c r="O14" s="72">
        <v>3.3196614583333335</v>
      </c>
      <c r="P14" s="72">
        <v>3.395894099169845</v>
      </c>
      <c r="Q14" s="72">
        <v>3.532522227421619</v>
      </c>
      <c r="R14" s="72">
        <v>3.5388284211813623</v>
      </c>
      <c r="S14" s="72">
        <v>3.5366904703275055</v>
      </c>
      <c r="T14" s="72">
        <v>3.5170575046961159</v>
      </c>
      <c r="U14" s="72">
        <v>3.3927940657011657</v>
      </c>
      <c r="V14" s="72">
        <v>3.4011269589716497</v>
      </c>
      <c r="W14" s="72">
        <v>3.4640923004473745</v>
      </c>
      <c r="X14" s="72">
        <v>3.5173750383318003</v>
      </c>
      <c r="Y14" s="72">
        <v>3.5349197496436759</v>
      </c>
      <c r="Z14" s="72">
        <v>3.4453558504221955</v>
      </c>
      <c r="AA14" s="72">
        <v>3.3305403062698642</v>
      </c>
      <c r="AB14" s="72">
        <v>3.2674064278732824</v>
      </c>
    </row>
    <row r="15" spans="1:28" ht="13.5">
      <c r="A15" s="168"/>
      <c r="B15" s="11" t="s">
        <v>123</v>
      </c>
      <c r="C15" s="11"/>
      <c r="D15" s="11"/>
      <c r="E15" s="11"/>
      <c r="F15" s="71">
        <v>1.2480747801857508</v>
      </c>
      <c r="G15" s="71">
        <v>1.251654920618088</v>
      </c>
      <c r="H15" s="71">
        <v>1.2626012186372735</v>
      </c>
      <c r="I15" s="71">
        <v>1.2729997183304622</v>
      </c>
      <c r="J15" s="71">
        <v>1.2972263228237866</v>
      </c>
      <c r="K15" s="71">
        <v>1.3195838177421557</v>
      </c>
      <c r="L15" s="71">
        <v>1.3416784715741015</v>
      </c>
      <c r="M15" s="71">
        <v>1.3737625279702292</v>
      </c>
      <c r="N15" s="71">
        <v>1.3988735375215804</v>
      </c>
      <c r="O15" s="71">
        <v>1.4152614921923983</v>
      </c>
      <c r="P15" s="71">
        <v>1.436121665319321</v>
      </c>
      <c r="Q15" s="71">
        <v>1.45256912647283</v>
      </c>
      <c r="R15" s="71">
        <v>1.4620227488165252</v>
      </c>
      <c r="S15" s="71">
        <v>1.4735144682181882</v>
      </c>
      <c r="T15" s="71">
        <v>1.4664787986945491</v>
      </c>
      <c r="U15" s="71">
        <v>1.4796185306904366</v>
      </c>
      <c r="V15" s="71">
        <v>1.4942396332178336</v>
      </c>
      <c r="W15" s="71">
        <v>1.5215121427305593</v>
      </c>
      <c r="X15" s="71">
        <v>1.5140528930977131</v>
      </c>
      <c r="Y15" s="71">
        <v>1.5150281382688782</v>
      </c>
      <c r="Z15" s="71">
        <v>1.4891294765664271</v>
      </c>
      <c r="AA15" s="71">
        <v>1.5041663893038337</v>
      </c>
      <c r="AB15" s="71">
        <v>1.5117649789716743</v>
      </c>
    </row>
    <row r="16" spans="1:28" ht="13.5">
      <c r="A16" s="168"/>
      <c r="B16" s="12"/>
      <c r="C16" s="12" t="s">
        <v>9</v>
      </c>
      <c r="D16" s="12"/>
      <c r="E16" s="12"/>
      <c r="F16" s="72">
        <v>1.2470707066209679</v>
      </c>
      <c r="G16" s="72">
        <v>1.2503038694135296</v>
      </c>
      <c r="H16" s="72">
        <v>1.2624005610889395</v>
      </c>
      <c r="I16" s="72">
        <v>1.2724786695998918</v>
      </c>
      <c r="J16" s="72">
        <v>1.2973806938837449</v>
      </c>
      <c r="K16" s="72">
        <v>1.3193242280096247</v>
      </c>
      <c r="L16" s="72">
        <v>1.3413158967713177</v>
      </c>
      <c r="M16" s="72">
        <v>1.3737128875574727</v>
      </c>
      <c r="N16" s="72">
        <v>1.3981237271943356</v>
      </c>
      <c r="O16" s="72">
        <v>1.4147774675083071</v>
      </c>
      <c r="P16" s="72">
        <v>1.4357559535664961</v>
      </c>
      <c r="Q16" s="72">
        <v>1.4525897208684093</v>
      </c>
      <c r="R16" s="72">
        <v>1.4624003932438261</v>
      </c>
      <c r="S16" s="72">
        <v>1.4728459860168355</v>
      </c>
      <c r="T16" s="72">
        <v>1.4655365199991421</v>
      </c>
      <c r="U16" s="72">
        <v>1.4775659330659363</v>
      </c>
      <c r="V16" s="72">
        <v>1.493219541263042</v>
      </c>
      <c r="W16" s="72">
        <v>1.5221157837293131</v>
      </c>
      <c r="X16" s="72">
        <v>1.5137460911805189</v>
      </c>
      <c r="Y16" s="72">
        <v>1.5150178605671871</v>
      </c>
      <c r="Z16" s="72">
        <v>1.4888750385068827</v>
      </c>
      <c r="AA16" s="72">
        <v>1.5042469477111615</v>
      </c>
      <c r="AB16" s="72">
        <v>1.5115663846917891</v>
      </c>
    </row>
    <row r="17" spans="1:28" ht="13.5">
      <c r="A17" s="168"/>
      <c r="B17" s="12"/>
      <c r="C17" s="12" t="s">
        <v>187</v>
      </c>
      <c r="D17" s="12"/>
      <c r="E17" s="12"/>
      <c r="F17" s="72">
        <v>1.458907887479316</v>
      </c>
      <c r="G17" s="72">
        <v>1.5119076697606253</v>
      </c>
      <c r="H17" s="72">
        <v>1.3830366872502724</v>
      </c>
      <c r="I17" s="72">
        <v>1.4154372252076208</v>
      </c>
      <c r="J17" s="72">
        <v>1.4024980635166537</v>
      </c>
      <c r="K17" s="72">
        <v>1.51303351475222</v>
      </c>
      <c r="L17" s="72">
        <v>1.5203804347826086</v>
      </c>
      <c r="M17" s="72">
        <v>1.5760268231349539</v>
      </c>
      <c r="N17" s="72">
        <v>1.6493572517975161</v>
      </c>
      <c r="O17" s="72">
        <v>1.6461573650503203</v>
      </c>
      <c r="P17" s="72">
        <v>1.565711629479378</v>
      </c>
      <c r="Q17" s="72">
        <v>1.4977826472583085</v>
      </c>
      <c r="R17" s="72">
        <v>1.483474085143607</v>
      </c>
      <c r="S17" s="72">
        <v>1.5281094339051311</v>
      </c>
      <c r="T17" s="72">
        <v>1.5182853577256956</v>
      </c>
      <c r="U17" s="72">
        <v>1.5727205008320786</v>
      </c>
      <c r="V17" s="72">
        <v>1.5561688362203092</v>
      </c>
      <c r="W17" s="72">
        <v>1.5487473902286506</v>
      </c>
      <c r="X17" s="72">
        <v>1.5654971865006004</v>
      </c>
      <c r="Y17" s="72">
        <v>1.5568799330303755</v>
      </c>
      <c r="Z17" s="72">
        <v>1.5312524432034522</v>
      </c>
      <c r="AA17" s="72">
        <v>1.533105996440189</v>
      </c>
      <c r="AB17" s="72">
        <v>1.5442282286571214</v>
      </c>
    </row>
    <row r="18" spans="1:28" ht="13.5">
      <c r="A18" s="168"/>
      <c r="B18" s="13"/>
      <c r="C18" s="13" t="s">
        <v>11</v>
      </c>
      <c r="D18" s="13"/>
      <c r="E18" s="13"/>
      <c r="F18" s="72">
        <v>1.235968514715948</v>
      </c>
      <c r="G18" s="72">
        <v>1.251227836510447</v>
      </c>
      <c r="H18" s="72">
        <v>1.2070826858591641</v>
      </c>
      <c r="I18" s="72">
        <v>1.2807965299684543</v>
      </c>
      <c r="J18" s="72">
        <v>1.236127279782693</v>
      </c>
      <c r="K18" s="72">
        <v>1.2723100655611261</v>
      </c>
      <c r="L18" s="72">
        <v>1.3126131330637396</v>
      </c>
      <c r="M18" s="72">
        <v>1.2861995753715498</v>
      </c>
      <c r="N18" s="72">
        <v>1.3471751125024456</v>
      </c>
      <c r="O18" s="72">
        <v>1.3199714330437506</v>
      </c>
      <c r="P18" s="72">
        <v>1.3554932165617546</v>
      </c>
      <c r="Q18" s="72">
        <v>1.3821224650521757</v>
      </c>
      <c r="R18" s="72">
        <v>1.3761514441842311</v>
      </c>
      <c r="S18" s="72">
        <v>1.4049707042469268</v>
      </c>
      <c r="T18" s="72">
        <v>1.4233025549745986</v>
      </c>
      <c r="U18" s="72">
        <v>1.4323954703832753</v>
      </c>
      <c r="V18" s="72">
        <v>1.4264070583232937</v>
      </c>
      <c r="W18" s="72">
        <v>1.3935944398454747</v>
      </c>
      <c r="X18" s="72">
        <v>1.4143050482007067</v>
      </c>
      <c r="Y18" s="72">
        <v>1.4115882180567394</v>
      </c>
      <c r="Z18" s="72">
        <v>1.4052094783610332</v>
      </c>
      <c r="AA18" s="72">
        <v>1.4182652057256229</v>
      </c>
      <c r="AB18" s="72">
        <v>1.4428817677381225</v>
      </c>
    </row>
    <row r="19" spans="1:28" ht="13.5">
      <c r="A19" s="168"/>
      <c r="B19" s="11" t="s">
        <v>124</v>
      </c>
      <c r="C19" s="11"/>
      <c r="D19" s="11"/>
      <c r="E19" s="11"/>
      <c r="F19" s="71">
        <v>1.4089184454802457</v>
      </c>
      <c r="G19" s="71">
        <v>1.4226079946290335</v>
      </c>
      <c r="H19" s="71">
        <v>1.430568553034677</v>
      </c>
      <c r="I19" s="71">
        <v>1.4323102530053524</v>
      </c>
      <c r="J19" s="71">
        <v>1.4529058828660109</v>
      </c>
      <c r="K19" s="71">
        <v>1.4658101896366171</v>
      </c>
      <c r="L19" s="71">
        <v>1.4770247431196486</v>
      </c>
      <c r="M19" s="71">
        <v>1.5031539564491014</v>
      </c>
      <c r="N19" s="71">
        <v>1.5307271614282321</v>
      </c>
      <c r="O19" s="71">
        <v>1.5497452655116117</v>
      </c>
      <c r="P19" s="71">
        <v>1.5610815191876857</v>
      </c>
      <c r="Q19" s="71">
        <v>1.5851230966633933</v>
      </c>
      <c r="R19" s="71">
        <v>1.5992277886285913</v>
      </c>
      <c r="S19" s="71">
        <v>1.6077493328939427</v>
      </c>
      <c r="T19" s="71">
        <v>1.607583762541517</v>
      </c>
      <c r="U19" s="71">
        <v>1.6254132887498665</v>
      </c>
      <c r="V19" s="71">
        <v>1.63586387161394</v>
      </c>
      <c r="W19" s="71">
        <v>1.6460498587951911</v>
      </c>
      <c r="X19" s="71">
        <v>1.6400135990688911</v>
      </c>
      <c r="Y19" s="71">
        <v>1.6392344747544443</v>
      </c>
      <c r="Z19" s="71">
        <v>1.6145883411648585</v>
      </c>
      <c r="AA19" s="71">
        <v>1.6291442052735268</v>
      </c>
      <c r="AB19" s="71">
        <v>1.6354152643664233</v>
      </c>
    </row>
    <row r="20" spans="1:28" ht="13.5">
      <c r="A20" s="168"/>
      <c r="B20" s="12"/>
      <c r="C20" s="12" t="s">
        <v>12</v>
      </c>
      <c r="D20" s="12"/>
      <c r="E20" s="12"/>
      <c r="F20" s="72">
        <v>1.4638433754158882</v>
      </c>
      <c r="G20" s="72">
        <v>1.5079310897324258</v>
      </c>
      <c r="H20" s="72">
        <v>1.740291152606926</v>
      </c>
      <c r="I20" s="72">
        <v>1.7146126536719903</v>
      </c>
      <c r="J20" s="72">
        <v>1.7181117707925218</v>
      </c>
      <c r="K20" s="72">
        <v>1.7058406521995984</v>
      </c>
      <c r="L20" s="72">
        <v>1.7102962835446911</v>
      </c>
      <c r="M20" s="72">
        <v>1.7131702051097517</v>
      </c>
      <c r="N20" s="72">
        <v>1.7270928695401937</v>
      </c>
      <c r="O20" s="72">
        <v>1.788797745587581</v>
      </c>
      <c r="P20" s="72">
        <v>1.7973719898084983</v>
      </c>
      <c r="Q20" s="72">
        <v>1.8083271893176047</v>
      </c>
      <c r="R20" s="72">
        <v>1.7972623160524168</v>
      </c>
      <c r="S20" s="72">
        <v>1.7929165759309484</v>
      </c>
      <c r="T20" s="72">
        <v>1.8256105607386743</v>
      </c>
      <c r="U20" s="72">
        <v>1.6982111831412183</v>
      </c>
      <c r="V20" s="72">
        <v>1.6978671432826928</v>
      </c>
      <c r="W20" s="72">
        <v>1.6808098651115166</v>
      </c>
      <c r="X20" s="72">
        <v>1.6818367600803228</v>
      </c>
      <c r="Y20" s="72">
        <v>1.67073771864123</v>
      </c>
      <c r="Z20" s="72">
        <v>1.6424423096559002</v>
      </c>
      <c r="AA20" s="72">
        <v>1.6564023347925787</v>
      </c>
      <c r="AB20" s="72">
        <v>1.6656259175883332</v>
      </c>
    </row>
    <row r="21" spans="1:28" ht="13.5">
      <c r="A21" s="168"/>
      <c r="B21" s="12"/>
      <c r="C21" s="12" t="s">
        <v>13</v>
      </c>
      <c r="D21" s="12"/>
      <c r="E21" s="12"/>
      <c r="F21" s="72">
        <v>1.6421609331751681</v>
      </c>
      <c r="G21" s="72">
        <v>1.6744951730109665</v>
      </c>
      <c r="H21" s="72">
        <v>1.7178336253804298</v>
      </c>
      <c r="I21" s="72">
        <v>1.7250058359354932</v>
      </c>
      <c r="J21" s="72">
        <v>1.7948730857981958</v>
      </c>
      <c r="K21" s="72">
        <v>1.82931975132679</v>
      </c>
      <c r="L21" s="72">
        <v>1.8599906202767262</v>
      </c>
      <c r="M21" s="72">
        <v>1.8978166405563708</v>
      </c>
      <c r="N21" s="72">
        <v>1.9282847802139229</v>
      </c>
      <c r="O21" s="72">
        <v>1.9650782484765985</v>
      </c>
      <c r="P21" s="72">
        <v>1.9938079680462197</v>
      </c>
      <c r="Q21" s="72">
        <v>2.0186380277899696</v>
      </c>
      <c r="R21" s="72">
        <v>2.0189369105934558</v>
      </c>
      <c r="S21" s="72">
        <v>2.0423169432506465</v>
      </c>
      <c r="T21" s="72">
        <v>2.0299006035117624</v>
      </c>
      <c r="U21" s="72">
        <v>2.0516184092322574</v>
      </c>
      <c r="V21" s="72">
        <v>2.0635643144791986</v>
      </c>
      <c r="W21" s="72">
        <v>2.0815534249810579</v>
      </c>
      <c r="X21" s="72">
        <v>2.1173887586452849</v>
      </c>
      <c r="Y21" s="72">
        <v>2.137101432281765</v>
      </c>
      <c r="Z21" s="72">
        <v>2.0667249828351855</v>
      </c>
      <c r="AA21" s="72">
        <v>2.0866239241537663</v>
      </c>
      <c r="AB21" s="72">
        <v>2.315286301217752</v>
      </c>
    </row>
    <row r="22" spans="1:28" ht="13.5">
      <c r="A22" s="168"/>
      <c r="B22" s="12"/>
      <c r="C22" s="12" t="s">
        <v>188</v>
      </c>
      <c r="D22" s="12"/>
      <c r="E22" s="12"/>
      <c r="F22" s="72">
        <v>1.6046490390981358</v>
      </c>
      <c r="G22" s="72">
        <v>1.631937010371552</v>
      </c>
      <c r="H22" s="72">
        <v>1.6661211517480194</v>
      </c>
      <c r="I22" s="72">
        <v>1.7304276320602601</v>
      </c>
      <c r="J22" s="72">
        <v>1.8117068980438287</v>
      </c>
      <c r="K22" s="72">
        <v>1.8680310350461291</v>
      </c>
      <c r="L22" s="72">
        <v>1.8817940311444441</v>
      </c>
      <c r="M22" s="72">
        <v>1.8862858407589433</v>
      </c>
      <c r="N22" s="72">
        <v>1.8756485066819109</v>
      </c>
      <c r="O22" s="72">
        <v>1.8409039282418811</v>
      </c>
      <c r="P22" s="72">
        <v>1.8266009186706296</v>
      </c>
      <c r="Q22" s="72">
        <v>1.8220342343533145</v>
      </c>
      <c r="R22" s="72">
        <v>1.8328096406958438</v>
      </c>
      <c r="S22" s="72">
        <v>1.8259827666590907</v>
      </c>
      <c r="T22" s="72">
        <v>1.8262421507780551</v>
      </c>
      <c r="U22" s="72">
        <v>1.8356031360666416</v>
      </c>
      <c r="V22" s="72">
        <v>1.8457941297711518</v>
      </c>
      <c r="W22" s="72">
        <v>1.8488298549645865</v>
      </c>
      <c r="X22" s="72">
        <v>1.8320481202496774</v>
      </c>
      <c r="Y22" s="72">
        <v>1.819209011439284</v>
      </c>
      <c r="Z22" s="72">
        <v>1.7536353745470477</v>
      </c>
      <c r="AA22" s="72">
        <v>1.753302217247841</v>
      </c>
      <c r="AB22" s="72">
        <v>1.7668595785133496</v>
      </c>
    </row>
    <row r="23" spans="1:28" ht="13.5">
      <c r="A23" s="168"/>
      <c r="B23" s="12"/>
      <c r="C23" s="12" t="s">
        <v>15</v>
      </c>
      <c r="D23" s="12"/>
      <c r="E23" s="12"/>
      <c r="F23" s="72">
        <v>1.2820597152187299</v>
      </c>
      <c r="G23" s="72">
        <v>1.2823534039105657</v>
      </c>
      <c r="H23" s="72">
        <v>1.2878873981465861</v>
      </c>
      <c r="I23" s="72">
        <v>1.2802766833925798</v>
      </c>
      <c r="J23" s="72">
        <v>1.2772549164344547</v>
      </c>
      <c r="K23" s="72">
        <v>1.2823596976399738</v>
      </c>
      <c r="L23" s="72">
        <v>1.2939702901678751</v>
      </c>
      <c r="M23" s="72">
        <v>1.3160649046355892</v>
      </c>
      <c r="N23" s="72">
        <v>1.3366204204168164</v>
      </c>
      <c r="O23" s="72">
        <v>1.3552403354324409</v>
      </c>
      <c r="P23" s="72">
        <v>1.3589743827029108</v>
      </c>
      <c r="Q23" s="72">
        <v>1.3859066551085544</v>
      </c>
      <c r="R23" s="72">
        <v>1.4038024899390558</v>
      </c>
      <c r="S23" s="72">
        <v>1.4205777525917531</v>
      </c>
      <c r="T23" s="72">
        <v>1.4256767183557069</v>
      </c>
      <c r="U23" s="72">
        <v>1.4525998071784971</v>
      </c>
      <c r="V23" s="72">
        <v>1.4696846767094975</v>
      </c>
      <c r="W23" s="72">
        <v>1.4873518029205854</v>
      </c>
      <c r="X23" s="72">
        <v>1.4986770673570573</v>
      </c>
      <c r="Y23" s="72">
        <v>1.5169784866430072</v>
      </c>
      <c r="Z23" s="72">
        <v>1.5114769715850533</v>
      </c>
      <c r="AA23" s="72">
        <v>1.532788582300604</v>
      </c>
      <c r="AB23" s="72">
        <v>1.5403112075176477</v>
      </c>
    </row>
    <row r="24" spans="1:28" ht="13.5">
      <c r="A24" s="168"/>
      <c r="B24" s="12"/>
      <c r="C24" s="12" t="s">
        <v>16</v>
      </c>
      <c r="D24" s="12"/>
      <c r="E24" s="12"/>
      <c r="F24" s="72">
        <v>1.2379969997306317</v>
      </c>
      <c r="G24" s="72"/>
      <c r="H24" s="72">
        <v>1.2470178847614455</v>
      </c>
      <c r="I24" s="72">
        <v>1.263381723382677</v>
      </c>
      <c r="J24" s="72">
        <v>1.2817895586413639</v>
      </c>
      <c r="K24" s="72">
        <v>1.3021158550098788</v>
      </c>
      <c r="L24" s="72">
        <v>1.3091823176711757</v>
      </c>
      <c r="M24" s="72">
        <v>1.3388553387369513</v>
      </c>
      <c r="N24" s="72">
        <v>1.3690686502300127</v>
      </c>
      <c r="O24" s="72">
        <v>1.3912676833391997</v>
      </c>
      <c r="P24" s="72">
        <v>1.4001231885755987</v>
      </c>
      <c r="Q24" s="72">
        <v>1.4223272358349712</v>
      </c>
      <c r="R24" s="72">
        <v>1.4270992168741972</v>
      </c>
      <c r="S24" s="72">
        <v>1.4241756742023128</v>
      </c>
      <c r="T24" s="72">
        <v>1.4288465310054141</v>
      </c>
      <c r="U24" s="72">
        <v>1.4344589896766116</v>
      </c>
      <c r="V24" s="72">
        <v>1.4396778506459891</v>
      </c>
      <c r="W24" s="72">
        <v>1.4373304018231192</v>
      </c>
      <c r="X24" s="72">
        <v>1.4132961491841463</v>
      </c>
      <c r="Y24" s="72">
        <v>1.4035847255748624</v>
      </c>
      <c r="Z24" s="72">
        <v>1.3895535217579431</v>
      </c>
      <c r="AA24" s="72">
        <v>1.4044636438604337</v>
      </c>
      <c r="AB24" s="72">
        <v>1.4141053807461783</v>
      </c>
    </row>
    <row r="25" spans="1:28" ht="13.5">
      <c r="A25" s="168"/>
      <c r="B25" s="12"/>
      <c r="C25" s="12" t="s">
        <v>187</v>
      </c>
      <c r="D25" s="12"/>
      <c r="E25" s="12"/>
      <c r="F25" s="72">
        <v>1.5751300428313555</v>
      </c>
      <c r="G25" s="72">
        <v>1.593471707266364</v>
      </c>
      <c r="H25" s="72">
        <v>1.5881098101827213</v>
      </c>
      <c r="I25" s="72">
        <v>1.5697381549869918</v>
      </c>
      <c r="J25" s="72">
        <v>1.5840711751894929</v>
      </c>
      <c r="K25" s="72">
        <v>1.5763000382905916</v>
      </c>
      <c r="L25" s="72">
        <v>1.5725115011130633</v>
      </c>
      <c r="M25" s="72">
        <v>1.5857142204830115</v>
      </c>
      <c r="N25" s="72">
        <v>1.621750523906325</v>
      </c>
      <c r="O25" s="72">
        <v>1.6383402028594283</v>
      </c>
      <c r="P25" s="72">
        <v>1.660314395004483</v>
      </c>
      <c r="Q25" s="72">
        <v>1.6949432807642857</v>
      </c>
      <c r="R25" s="72">
        <v>1.7285725925533282</v>
      </c>
      <c r="S25" s="72">
        <v>1.7439435045076903</v>
      </c>
      <c r="T25" s="72">
        <v>1.7326693392087997</v>
      </c>
      <c r="U25" s="72">
        <v>1.7859807273594026</v>
      </c>
      <c r="V25" s="72">
        <v>1.8020543418428858</v>
      </c>
      <c r="W25" s="72">
        <v>1.8324052083447249</v>
      </c>
      <c r="X25" s="72">
        <v>1.8339551867516506</v>
      </c>
      <c r="Y25" s="72">
        <v>1.8345843166757945</v>
      </c>
      <c r="Z25" s="72">
        <v>1.8192478557242122</v>
      </c>
      <c r="AA25" s="72">
        <v>1.8513146566227792</v>
      </c>
      <c r="AB25" s="72">
        <v>1.8754383739034479</v>
      </c>
    </row>
    <row r="26" spans="1:28" ht="13.5">
      <c r="A26" s="168"/>
      <c r="B26" s="12"/>
      <c r="C26" s="12" t="s">
        <v>11</v>
      </c>
      <c r="D26" s="12"/>
      <c r="E26" s="12"/>
      <c r="F26" s="72">
        <v>1.7204751727774847</v>
      </c>
      <c r="G26" s="72">
        <v>1.7394869010452017</v>
      </c>
      <c r="H26" s="72">
        <v>1.7528525238489698</v>
      </c>
      <c r="I26" s="72">
        <v>1.7475439434974245</v>
      </c>
      <c r="J26" s="72">
        <v>1.7470787490481317</v>
      </c>
      <c r="K26" s="72">
        <v>1.7820329741659093</v>
      </c>
      <c r="L26" s="72">
        <v>1.8141642625545713</v>
      </c>
      <c r="M26" s="72">
        <v>1.8302604257874064</v>
      </c>
      <c r="N26" s="72">
        <v>1.850767347937829</v>
      </c>
      <c r="O26" s="72">
        <v>1.8707703989393758</v>
      </c>
      <c r="P26" s="72">
        <v>1.8929139389305683</v>
      </c>
      <c r="Q26" s="72">
        <v>1.9386807071409726</v>
      </c>
      <c r="R26" s="72">
        <v>1.9538598904413709</v>
      </c>
      <c r="S26" s="72">
        <v>1.9127134944241098</v>
      </c>
      <c r="T26" s="72">
        <v>1.7297005569351687</v>
      </c>
      <c r="U26" s="72">
        <v>1.9263902627877099</v>
      </c>
      <c r="V26" s="72">
        <v>1.9473897218338714</v>
      </c>
      <c r="W26" s="72">
        <v>1.9497800590027106</v>
      </c>
      <c r="X26" s="72">
        <v>1.9698333256158385</v>
      </c>
      <c r="Y26" s="72">
        <v>1.9870686562055888</v>
      </c>
      <c r="Z26" s="72">
        <v>1.9725585832964887</v>
      </c>
      <c r="AA26" s="72">
        <v>1.9875968571896896</v>
      </c>
      <c r="AB26" s="72">
        <v>1.9621201250919793</v>
      </c>
    </row>
    <row r="27" spans="1:28" ht="13.5">
      <c r="A27" s="168"/>
      <c r="B27" s="12"/>
      <c r="C27" s="12" t="s">
        <v>17</v>
      </c>
      <c r="D27" s="12"/>
      <c r="E27" s="12"/>
      <c r="F27" s="72">
        <v>1.0882597835137386</v>
      </c>
      <c r="G27" s="72">
        <v>1.067680608365019</v>
      </c>
      <c r="H27" s="72">
        <v>1.0585516178736518</v>
      </c>
      <c r="I27" s="72">
        <v>1.0708487084870848</v>
      </c>
      <c r="J27" s="72">
        <v>1.1314741035856575</v>
      </c>
      <c r="K27" s="72">
        <v>1.2310315430520034</v>
      </c>
      <c r="L27" s="72">
        <v>1.1585473870682019</v>
      </c>
      <c r="M27" s="72">
        <v>1.263157894736842</v>
      </c>
      <c r="N27" s="72">
        <v>1.1372727272727272</v>
      </c>
      <c r="O27" s="72">
        <v>1.3706896551724137</v>
      </c>
      <c r="P27" s="72">
        <v>1.0401673640167364</v>
      </c>
      <c r="Q27" s="72">
        <v>1.0228452751817239</v>
      </c>
      <c r="R27" s="72">
        <v>1.0736949846468782</v>
      </c>
      <c r="S27" s="72">
        <v>1.1066494517059364</v>
      </c>
      <c r="T27" s="72">
        <v>1.2351875174340885</v>
      </c>
      <c r="U27" s="72">
        <v>1.3279746604111908</v>
      </c>
      <c r="V27" s="72">
        <v>1.3753976430310924</v>
      </c>
      <c r="W27" s="72">
        <v>1.249244996963446</v>
      </c>
      <c r="X27" s="72">
        <v>1.5525</v>
      </c>
      <c r="Y27" s="72">
        <v>1.6471428571428572</v>
      </c>
      <c r="Z27" s="72">
        <v>1.5793103448275863</v>
      </c>
      <c r="AA27" s="72">
        <v>1.6082758620689654</v>
      </c>
      <c r="AB27" s="72">
        <v>1.4967405475880051</v>
      </c>
    </row>
    <row r="28" spans="1:28" ht="13.5">
      <c r="A28" s="168"/>
      <c r="B28" s="13"/>
      <c r="C28" s="13" t="s">
        <v>18</v>
      </c>
      <c r="D28" s="13"/>
      <c r="E28" s="13"/>
      <c r="F28" s="72">
        <v>0.81272800972841508</v>
      </c>
      <c r="G28" s="72">
        <v>0.84046814044213269</v>
      </c>
      <c r="H28" s="72">
        <v>0.82741484126218279</v>
      </c>
      <c r="I28" s="72">
        <v>0.83030107129663833</v>
      </c>
      <c r="J28" s="72">
        <v>0.8738300435548142</v>
      </c>
      <c r="K28" s="72">
        <v>0.88114321902706771</v>
      </c>
      <c r="L28" s="72">
        <v>0.89553972447631636</v>
      </c>
      <c r="M28" s="72">
        <v>0.87698651716628828</v>
      </c>
      <c r="N28" s="72">
        <v>0.88502134446685743</v>
      </c>
      <c r="O28" s="72">
        <v>0.92931809300508006</v>
      </c>
      <c r="P28" s="72">
        <v>1.018818716440808</v>
      </c>
      <c r="Q28" s="72">
        <v>1.0171620573791678</v>
      </c>
      <c r="R28" s="72">
        <v>1.0103617476640392</v>
      </c>
      <c r="S28" s="72">
        <v>1.0346424425455887</v>
      </c>
      <c r="T28" s="72">
        <v>1.0296036417044478</v>
      </c>
      <c r="U28" s="72">
        <v>1.0755439435898613</v>
      </c>
      <c r="V28" s="72">
        <v>1.0862063436648985</v>
      </c>
      <c r="W28" s="72">
        <v>1.0975809712674558</v>
      </c>
      <c r="X28" s="72">
        <v>1.104529501357526</v>
      </c>
      <c r="Y28" s="72">
        <v>1.1680218271176641</v>
      </c>
      <c r="Z28" s="72">
        <v>1.199192121258752</v>
      </c>
      <c r="AA28" s="72">
        <v>1.1471884735202493</v>
      </c>
      <c r="AB28" s="72">
        <v>1.0979008520526723</v>
      </c>
    </row>
    <row r="29" spans="1:28" ht="13.5">
      <c r="A29" s="168"/>
      <c r="B29" s="9" t="s">
        <v>125</v>
      </c>
      <c r="C29" s="9"/>
      <c r="D29" s="9"/>
      <c r="E29" s="9"/>
      <c r="F29" s="71">
        <v>1.1081590725224324</v>
      </c>
      <c r="G29" s="71">
        <v>1.1204709492980738</v>
      </c>
      <c r="H29" s="71">
        <v>1.1236108827079112</v>
      </c>
      <c r="I29" s="71">
        <v>1.1232913828034952</v>
      </c>
      <c r="J29" s="71">
        <v>1.1291872682778707</v>
      </c>
      <c r="K29" s="71">
        <v>1.1210591988341798</v>
      </c>
      <c r="L29" s="71">
        <v>1.1289406683056031</v>
      </c>
      <c r="M29" s="71">
        <v>1.1440200730759329</v>
      </c>
      <c r="N29" s="71">
        <v>1.1707419838754307</v>
      </c>
      <c r="O29" s="71">
        <v>1.1899895723577636</v>
      </c>
      <c r="P29" s="71">
        <v>1.2070215694240134</v>
      </c>
      <c r="Q29" s="71">
        <v>1.2138079707675051</v>
      </c>
      <c r="R29" s="71">
        <v>1.2236868061709554</v>
      </c>
      <c r="S29" s="71">
        <v>1.2341408882082709</v>
      </c>
      <c r="T29" s="71">
        <v>1.2395052784232565</v>
      </c>
      <c r="U29" s="71">
        <v>1.2519691335924483</v>
      </c>
      <c r="V29" s="71">
        <v>1.2589242999381571</v>
      </c>
      <c r="W29" s="71">
        <v>1.2684812552435858</v>
      </c>
      <c r="X29" s="71">
        <v>1.2862565468769436</v>
      </c>
      <c r="Y29" s="71">
        <v>1.2952538678200796</v>
      </c>
      <c r="Z29" s="71">
        <v>1.3071565058617516</v>
      </c>
      <c r="AA29" s="71">
        <v>1.3092921860589619</v>
      </c>
      <c r="AB29" s="71">
        <v>1.3027218542939154</v>
      </c>
    </row>
    <row r="30" spans="1:28" ht="13.5">
      <c r="A30" s="168"/>
      <c r="B30" s="11" t="s">
        <v>127</v>
      </c>
      <c r="C30" s="11"/>
      <c r="D30" s="11"/>
      <c r="E30" s="11"/>
      <c r="F30" s="71">
        <v>1.7134183230828417</v>
      </c>
      <c r="G30" s="71">
        <v>1.7014577185627984</v>
      </c>
      <c r="H30" s="71">
        <v>1.6650429955701533</v>
      </c>
      <c r="I30" s="71">
        <v>1.6223524685524002</v>
      </c>
      <c r="J30" s="71">
        <v>1.6180802487094308</v>
      </c>
      <c r="K30" s="71">
        <v>1.6146959516285662</v>
      </c>
      <c r="L30" s="71">
        <v>1.6144338781067358</v>
      </c>
      <c r="M30" s="71">
        <v>1.6221659215877415</v>
      </c>
      <c r="N30" s="71">
        <v>1.6249686267508927</v>
      </c>
      <c r="O30" s="71">
        <v>1.6517604124329639</v>
      </c>
      <c r="P30" s="71">
        <v>1.6965746207029</v>
      </c>
      <c r="Q30" s="71">
        <v>1.7154168771859257</v>
      </c>
      <c r="R30" s="71">
        <v>1.7265720200345607</v>
      </c>
      <c r="S30" s="71">
        <v>1.7441220208380925</v>
      </c>
      <c r="T30" s="71">
        <v>1.7540527688657119</v>
      </c>
      <c r="U30" s="71">
        <v>1.7980327727789844</v>
      </c>
      <c r="V30" s="71">
        <v>1.8128238165203219</v>
      </c>
      <c r="W30" s="71">
        <v>1.8414523848279865</v>
      </c>
      <c r="X30" s="71">
        <v>1.8318582925099784</v>
      </c>
      <c r="Y30" s="71">
        <v>1.8416944220920524</v>
      </c>
      <c r="Z30" s="71">
        <v>1.8538999268885377</v>
      </c>
      <c r="AA30" s="71">
        <v>1.8893603327354498</v>
      </c>
      <c r="AB30" s="71">
        <v>1.8998235799303274</v>
      </c>
    </row>
    <row r="31" spans="1:28" ht="13.5">
      <c r="A31" s="168"/>
      <c r="B31" s="12"/>
      <c r="C31" s="12" t="s">
        <v>16</v>
      </c>
      <c r="D31" s="12"/>
      <c r="E31" s="12"/>
      <c r="F31" s="72">
        <v>1.7138267989291947</v>
      </c>
      <c r="G31" s="72">
        <v>1.7060168346669438</v>
      </c>
      <c r="H31" s="72">
        <v>1.6677460364515337</v>
      </c>
      <c r="I31" s="72">
        <v>1.6209596504993453</v>
      </c>
      <c r="J31" s="72">
        <v>1.6137736344607132</v>
      </c>
      <c r="K31" s="72">
        <v>1.6095018791948066</v>
      </c>
      <c r="L31" s="72">
        <v>1.6094293854909589</v>
      </c>
      <c r="M31" s="72">
        <v>1.6257186133965165</v>
      </c>
      <c r="N31" s="72">
        <v>1.6286890411088173</v>
      </c>
      <c r="O31" s="72">
        <v>1.6576877847911951</v>
      </c>
      <c r="P31" s="72">
        <v>1.7037200275184714</v>
      </c>
      <c r="Q31" s="72">
        <v>1.7238261998002826</v>
      </c>
      <c r="R31" s="72">
        <v>1.7310074352902247</v>
      </c>
      <c r="S31" s="72">
        <v>1.7411922924827601</v>
      </c>
      <c r="T31" s="72">
        <v>1.7517540663864508</v>
      </c>
      <c r="U31" s="72">
        <v>1.7955757861483235</v>
      </c>
      <c r="V31" s="72">
        <v>1.8084238893819642</v>
      </c>
      <c r="W31" s="72">
        <v>1.8343202821985747</v>
      </c>
      <c r="X31" s="72">
        <v>1.8233722585326688</v>
      </c>
      <c r="Y31" s="72">
        <v>1.8301724680886418</v>
      </c>
      <c r="Z31" s="72">
        <v>1.8400415571210087</v>
      </c>
      <c r="AA31" s="72">
        <v>1.8805888224312148</v>
      </c>
      <c r="AB31" s="72">
        <v>1.8794710381139585</v>
      </c>
    </row>
    <row r="32" spans="1:28" ht="13.5">
      <c r="A32" s="168"/>
      <c r="B32" s="12"/>
      <c r="C32" s="12" t="s">
        <v>187</v>
      </c>
      <c r="D32" s="12"/>
      <c r="E32" s="12"/>
      <c r="F32" s="72">
        <v>1.8169082720023666</v>
      </c>
      <c r="G32" s="72">
        <v>1.7907436235181415</v>
      </c>
      <c r="H32" s="72">
        <v>1.7245733218253194</v>
      </c>
      <c r="I32" s="72">
        <v>1.6986229508196722</v>
      </c>
      <c r="J32" s="72">
        <v>1.6841707199394944</v>
      </c>
      <c r="K32" s="72">
        <v>1.6721298650498728</v>
      </c>
      <c r="L32" s="72">
        <v>1.6834991448237349</v>
      </c>
      <c r="M32" s="72">
        <v>1.6205353832464098</v>
      </c>
      <c r="N32" s="72">
        <v>1.6234906090056933</v>
      </c>
      <c r="O32" s="72">
        <v>1.6423233732385989</v>
      </c>
      <c r="P32" s="72">
        <v>1.6734999948284601</v>
      </c>
      <c r="Q32" s="72">
        <v>1.6956067466043088</v>
      </c>
      <c r="R32" s="72">
        <v>1.7253437101918232</v>
      </c>
      <c r="S32" s="72">
        <v>1.8004287019304508</v>
      </c>
      <c r="T32" s="72">
        <v>1.79330548525519</v>
      </c>
      <c r="U32" s="72">
        <v>1.8317315745826843</v>
      </c>
      <c r="V32" s="72">
        <v>1.8363440482722229</v>
      </c>
      <c r="W32" s="72">
        <v>1.8842581645820446</v>
      </c>
      <c r="X32" s="72">
        <v>1.875345305925644</v>
      </c>
      <c r="Y32" s="72">
        <v>1.8853213600511998</v>
      </c>
      <c r="Z32" s="72">
        <v>1.9036150834647383</v>
      </c>
      <c r="AA32" s="72">
        <v>1.9151386605537633</v>
      </c>
      <c r="AB32" s="72">
        <v>1.9803483501393955</v>
      </c>
    </row>
    <row r="33" spans="1:28" ht="13.5">
      <c r="A33" s="168"/>
      <c r="B33" s="12"/>
      <c r="C33" s="12" t="s">
        <v>11</v>
      </c>
      <c r="D33" s="12"/>
      <c r="E33" s="12"/>
      <c r="F33" s="72">
        <v>2.0549803921568626</v>
      </c>
      <c r="G33" s="72">
        <v>2.0187793427230045</v>
      </c>
      <c r="H33" s="72">
        <v>1.9754281459419212</v>
      </c>
      <c r="I33" s="72">
        <v>1.9524251732266591</v>
      </c>
      <c r="J33" s="72">
        <v>1.923549965059399</v>
      </c>
      <c r="K33" s="72">
        <v>1.9034921967947371</v>
      </c>
      <c r="L33" s="72">
        <v>1.8215320910973085</v>
      </c>
      <c r="M33" s="72">
        <v>1.8699289882584547</v>
      </c>
      <c r="N33" s="72">
        <v>1.8241418970415022</v>
      </c>
      <c r="O33" s="72">
        <v>1.8170872317006055</v>
      </c>
      <c r="P33" s="72">
        <v>1.8531854838709676</v>
      </c>
      <c r="Q33" s="72">
        <v>1.8102870171673819</v>
      </c>
      <c r="R33" s="72">
        <v>1.8216072240628858</v>
      </c>
      <c r="S33" s="72">
        <v>1.8206187226441917</v>
      </c>
      <c r="T33" s="72">
        <v>1.827928487181079</v>
      </c>
      <c r="U33" s="72">
        <v>1.8725146334875866</v>
      </c>
      <c r="V33" s="72">
        <v>1.9453559921662769</v>
      </c>
      <c r="W33" s="72">
        <v>1.9571894499839178</v>
      </c>
      <c r="X33" s="72">
        <v>1.9845299220788484</v>
      </c>
      <c r="Y33" s="72">
        <v>2.0452489859453831</v>
      </c>
      <c r="Z33" s="72">
        <v>2.0185680719656283</v>
      </c>
      <c r="AA33" s="72">
        <v>2.0120530770654974</v>
      </c>
      <c r="AB33" s="72">
        <v>2.0079912844988588</v>
      </c>
    </row>
    <row r="34" spans="1:28" ht="13.5">
      <c r="A34" s="168"/>
      <c r="B34" s="12"/>
      <c r="C34" s="12" t="s">
        <v>19</v>
      </c>
      <c r="D34" s="12"/>
      <c r="E34" s="12"/>
      <c r="F34" s="72">
        <v>1.2419433726427911</v>
      </c>
      <c r="G34" s="72">
        <v>1.15611685940353</v>
      </c>
      <c r="H34" s="72">
        <v>1.2539136334997334</v>
      </c>
      <c r="I34" s="72">
        <v>1.2639156824918836</v>
      </c>
      <c r="J34" s="72">
        <v>1.3187817755181854</v>
      </c>
      <c r="K34" s="72">
        <v>1.3597124864502141</v>
      </c>
      <c r="L34" s="72">
        <v>1.3486636238191274</v>
      </c>
      <c r="M34" s="72">
        <v>1.3009337211082197</v>
      </c>
      <c r="N34" s="72">
        <v>1.2969628216366731</v>
      </c>
      <c r="O34" s="72">
        <v>1.2937282591765744</v>
      </c>
      <c r="P34" s="72">
        <v>1.2934729265499754</v>
      </c>
      <c r="Q34" s="72">
        <v>1.3324957167332954</v>
      </c>
      <c r="R34" s="72">
        <v>1.3996864726652867</v>
      </c>
      <c r="S34" s="72">
        <v>1.4169795391935798</v>
      </c>
      <c r="T34" s="72">
        <v>1.4861167032131253</v>
      </c>
      <c r="U34" s="72">
        <v>1.4986315332732543</v>
      </c>
      <c r="V34" s="72">
        <v>1.6171692943123925</v>
      </c>
      <c r="W34" s="72">
        <v>1.6710472652049897</v>
      </c>
      <c r="X34" s="72">
        <v>1.7002259248799774</v>
      </c>
      <c r="Y34" s="72">
        <v>1.7425976941128456</v>
      </c>
      <c r="Z34" s="72">
        <v>1.8268473200429749</v>
      </c>
      <c r="AA34" s="72">
        <v>1.8281662269129288</v>
      </c>
      <c r="AB34" s="72">
        <v>1.8456371285113313</v>
      </c>
    </row>
    <row r="35" spans="1:28" ht="13.5">
      <c r="A35" s="168"/>
      <c r="B35" s="14"/>
      <c r="C35" s="14" t="s">
        <v>20</v>
      </c>
      <c r="D35" s="14"/>
      <c r="E35" s="14"/>
      <c r="F35" s="72">
        <v>1.5532110091743119</v>
      </c>
      <c r="G35" s="72">
        <v>1.5552450950616534</v>
      </c>
      <c r="H35" s="72">
        <v>1.5591085271317831</v>
      </c>
      <c r="I35" s="72">
        <v>1.5235533106401669</v>
      </c>
      <c r="J35" s="72">
        <v>1.6150234741784038</v>
      </c>
      <c r="K35" s="72">
        <v>1.6361593789245346</v>
      </c>
      <c r="L35" s="72">
        <v>1.6691892051843522</v>
      </c>
      <c r="M35" s="72">
        <v>1.6060571032250608</v>
      </c>
      <c r="N35" s="72">
        <v>1.6287095323741008</v>
      </c>
      <c r="O35" s="72">
        <v>1.648228747727398</v>
      </c>
      <c r="P35" s="72">
        <v>1.7496208078197855</v>
      </c>
      <c r="Q35" s="72">
        <v>1.7137529137529137</v>
      </c>
      <c r="R35" s="72">
        <v>1.7374859344422702</v>
      </c>
      <c r="S35" s="72">
        <v>1.7300842589046341</v>
      </c>
      <c r="T35" s="72">
        <v>1.7376582068782718</v>
      </c>
      <c r="U35" s="72">
        <v>1.8254532527550658</v>
      </c>
      <c r="V35" s="72">
        <v>1.8508946883260731</v>
      </c>
      <c r="W35" s="72">
        <v>1.8247839369184069</v>
      </c>
      <c r="X35" s="72">
        <v>1.7944227736741638</v>
      </c>
      <c r="Y35" s="72">
        <v>1.8779783393501805</v>
      </c>
      <c r="Z35" s="72">
        <v>1.9035443037974684</v>
      </c>
      <c r="AA35" s="72">
        <v>1.952214952268583</v>
      </c>
      <c r="AB35" s="72">
        <v>1.9584608143092492</v>
      </c>
    </row>
    <row r="36" spans="1:28" ht="16.5" customHeight="1">
      <c r="A36" s="168"/>
      <c r="B36" s="15"/>
      <c r="C36" s="15"/>
      <c r="D36" s="15"/>
      <c r="E36" s="15"/>
      <c r="F36" s="71"/>
      <c r="G36" s="71"/>
      <c r="H36" s="71"/>
      <c r="I36" s="71"/>
      <c r="J36" s="71"/>
      <c r="K36" s="71"/>
      <c r="L36" s="71"/>
      <c r="M36" s="71"/>
      <c r="N36" s="71"/>
      <c r="O36" s="71"/>
      <c r="P36" s="71"/>
      <c r="Q36" s="71"/>
      <c r="R36" s="71"/>
      <c r="S36" s="71"/>
      <c r="T36" s="71"/>
      <c r="U36" s="71"/>
      <c r="V36" s="71"/>
      <c r="W36" s="71"/>
      <c r="X36" s="71"/>
      <c r="Y36" s="71"/>
      <c r="Z36" s="71"/>
      <c r="AA36" s="71"/>
      <c r="AB36" s="71"/>
    </row>
    <row r="37" spans="1:28" ht="13.5">
      <c r="A37" s="168">
        <v>78</v>
      </c>
      <c r="B37" s="10" t="s">
        <v>128</v>
      </c>
      <c r="C37" s="10"/>
      <c r="D37" s="10"/>
      <c r="E37" s="10"/>
      <c r="F37" s="73">
        <v>0.93613417848365088</v>
      </c>
      <c r="G37" s="73">
        <v>0.95215780604309708</v>
      </c>
      <c r="H37" s="73">
        <v>0.96190688204153663</v>
      </c>
      <c r="I37" s="73">
        <v>0.96814468623306416</v>
      </c>
      <c r="J37" s="73">
        <v>0.9733377236055254</v>
      </c>
      <c r="K37" s="73">
        <v>0.96399894748109038</v>
      </c>
      <c r="L37" s="73">
        <v>0.95901293208366301</v>
      </c>
      <c r="M37" s="73">
        <v>0.96652018941036977</v>
      </c>
      <c r="N37" s="73">
        <v>0.98616295128976073</v>
      </c>
      <c r="O37" s="73">
        <v>1.0025516796038725</v>
      </c>
      <c r="P37" s="73">
        <v>1.0076702961369328</v>
      </c>
      <c r="Q37" s="73">
        <v>1.011773343285717</v>
      </c>
      <c r="R37" s="73">
        <v>1.0177916786212946</v>
      </c>
      <c r="S37" s="73">
        <v>1.0251840848394922</v>
      </c>
      <c r="T37" s="73">
        <v>1.0341787330721062</v>
      </c>
      <c r="U37" s="73">
        <v>1.0429539075428489</v>
      </c>
      <c r="V37" s="73">
        <v>1.0484837580611481</v>
      </c>
      <c r="W37" s="73">
        <v>1.0526826712623172</v>
      </c>
      <c r="X37" s="73">
        <v>1.0684706434245757</v>
      </c>
      <c r="Y37" s="73">
        <v>1.0723586833434289</v>
      </c>
      <c r="Z37" s="73">
        <v>1.0884133128668343</v>
      </c>
      <c r="AA37" s="73">
        <v>1.0938396036070261</v>
      </c>
      <c r="AB37" s="73">
        <v>1.0844672955913681</v>
      </c>
    </row>
    <row r="38" spans="1:28" ht="13.5">
      <c r="A38" s="168"/>
      <c r="B38" s="12"/>
      <c r="C38" s="12" t="s">
        <v>21</v>
      </c>
      <c r="D38" s="12"/>
      <c r="E38" s="12"/>
      <c r="F38" s="74">
        <v>0.67906379610438072</v>
      </c>
      <c r="G38" s="74">
        <v>0.68813073606295549</v>
      </c>
      <c r="H38" s="74">
        <v>0.68737848873724916</v>
      </c>
      <c r="I38" s="74">
        <v>0.6893376903363414</v>
      </c>
      <c r="J38" s="74">
        <v>0.686521283742621</v>
      </c>
      <c r="K38" s="74">
        <v>0.66659122111456048</v>
      </c>
      <c r="L38" s="74">
        <v>0.6654359949254337</v>
      </c>
      <c r="M38" s="74">
        <v>0.66608572388651854</v>
      </c>
      <c r="N38" s="74">
        <v>0.67535359874854817</v>
      </c>
      <c r="O38" s="74">
        <v>0.68179668487908895</v>
      </c>
      <c r="P38" s="74">
        <v>0.68850464614091211</v>
      </c>
      <c r="Q38" s="74">
        <v>0.68956467837891722</v>
      </c>
      <c r="R38" s="74">
        <v>0.69628899281079515</v>
      </c>
      <c r="S38" s="74">
        <v>0.69589473507648736</v>
      </c>
      <c r="T38" s="74">
        <v>0.71897903716058287</v>
      </c>
      <c r="U38" s="74">
        <v>0.72160861530640352</v>
      </c>
      <c r="V38" s="74">
        <v>0.71678729361555604</v>
      </c>
      <c r="W38" s="74">
        <v>0.71824977991823546</v>
      </c>
      <c r="X38" s="74">
        <v>0.73055882740650457</v>
      </c>
      <c r="Y38" s="74">
        <v>0.72470513317504914</v>
      </c>
      <c r="Z38" s="74">
        <v>0.74084003318688041</v>
      </c>
      <c r="AA38" s="74">
        <v>0.75429076017910557</v>
      </c>
      <c r="AB38" s="74">
        <v>0.76821628338351877</v>
      </c>
    </row>
    <row r="39" spans="1:28" ht="13.5">
      <c r="A39" s="168"/>
      <c r="B39" s="12"/>
      <c r="C39" s="12"/>
      <c r="D39" s="12" t="s">
        <v>22</v>
      </c>
      <c r="E39" s="12"/>
      <c r="F39" s="72">
        <v>0.58898454462108152</v>
      </c>
      <c r="G39" s="72">
        <v>0.59326361398840011</v>
      </c>
      <c r="H39" s="72">
        <v>0.59289859542904688</v>
      </c>
      <c r="I39" s="72">
        <v>0.59194967643103125</v>
      </c>
      <c r="J39" s="72">
        <v>0.58667138357438642</v>
      </c>
      <c r="K39" s="72">
        <v>0.57720883230606079</v>
      </c>
      <c r="L39" s="72">
        <v>0.58454394210373073</v>
      </c>
      <c r="M39" s="72">
        <v>0.59257539585119723</v>
      </c>
      <c r="N39" s="72">
        <v>0.6028665061050883</v>
      </c>
      <c r="O39" s="72">
        <v>0.60868145260812911</v>
      </c>
      <c r="P39" s="72">
        <v>0.61588726546445194</v>
      </c>
      <c r="Q39" s="72">
        <v>0.61778459499226002</v>
      </c>
      <c r="R39" s="72">
        <v>0.62187750104953599</v>
      </c>
      <c r="S39" s="72">
        <v>0.61862952255724046</v>
      </c>
      <c r="T39" s="72">
        <v>0.62765389720304809</v>
      </c>
      <c r="U39" s="72">
        <v>0.62121659093029491</v>
      </c>
      <c r="V39" s="72">
        <v>0.62532049512388665</v>
      </c>
      <c r="W39" s="72">
        <v>0.6287858384480387</v>
      </c>
      <c r="X39" s="72">
        <v>0.63933995026938095</v>
      </c>
      <c r="Y39" s="72">
        <v>0.6351363525558853</v>
      </c>
      <c r="Z39" s="72">
        <v>0.64341720193926988</v>
      </c>
      <c r="AA39" s="72">
        <v>0.64294311081862121</v>
      </c>
      <c r="AB39" s="72">
        <v>0.63957674086013738</v>
      </c>
    </row>
    <row r="40" spans="1:28" ht="13.5">
      <c r="A40" s="168"/>
      <c r="B40" s="12"/>
      <c r="C40" s="12"/>
      <c r="D40" s="12" t="s">
        <v>23</v>
      </c>
      <c r="E40" s="12"/>
      <c r="F40" s="72">
        <v>1.9402116199030182</v>
      </c>
      <c r="G40" s="72">
        <v>1.9192127318004273</v>
      </c>
      <c r="H40" s="72">
        <v>1.8895343785300214</v>
      </c>
      <c r="I40" s="72">
        <v>1.9494463044038115</v>
      </c>
      <c r="J40" s="72">
        <v>2.1032305616977487</v>
      </c>
      <c r="K40" s="72">
        <v>2.1621373455547142</v>
      </c>
      <c r="L40" s="72">
        <v>2.1851470109580124</v>
      </c>
      <c r="M40" s="72">
        <v>2.2451750858980919</v>
      </c>
      <c r="N40" s="72">
        <v>2.2718778637741019</v>
      </c>
      <c r="O40" s="72">
        <v>2.3649210273594736</v>
      </c>
      <c r="P40" s="72">
        <v>2.3587584511370623</v>
      </c>
      <c r="Q40" s="72">
        <v>2.2976437131830183</v>
      </c>
      <c r="R40" s="72">
        <v>2.2190755878116759</v>
      </c>
      <c r="S40" s="72">
        <v>2.0636002928144288</v>
      </c>
      <c r="T40" s="72">
        <v>1.6874252622415515</v>
      </c>
      <c r="U40" s="72">
        <v>1.8315857005818243</v>
      </c>
      <c r="V40" s="72">
        <v>1.9462879481630431</v>
      </c>
      <c r="W40" s="72">
        <v>2.0373968697759257</v>
      </c>
      <c r="X40" s="72">
        <v>2.1011242409511133</v>
      </c>
      <c r="Y40" s="72">
        <v>2.05539826404913</v>
      </c>
      <c r="Z40" s="72">
        <v>1.8568693009694033</v>
      </c>
      <c r="AA40" s="72">
        <v>1.8583175371131102</v>
      </c>
      <c r="AB40" s="72">
        <v>1.8785664986746404</v>
      </c>
    </row>
    <row r="41" spans="1:28" ht="13.5">
      <c r="A41" s="168"/>
      <c r="B41" s="12"/>
      <c r="C41" s="12"/>
      <c r="D41" s="12" t="s">
        <v>24</v>
      </c>
      <c r="E41" s="12"/>
      <c r="F41" s="72">
        <v>2.0096638461182779</v>
      </c>
      <c r="G41" s="72">
        <v>1.9633716068770013</v>
      </c>
      <c r="H41" s="72">
        <v>1.9792510976021613</v>
      </c>
      <c r="I41" s="72">
        <v>1.9962405242722436</v>
      </c>
      <c r="J41" s="72">
        <v>2.076638194935029</v>
      </c>
      <c r="K41" s="72">
        <v>2.0846978603338817</v>
      </c>
      <c r="L41" s="72">
        <v>2.0663830851995497</v>
      </c>
      <c r="M41" s="72">
        <v>1.9350065871702193</v>
      </c>
      <c r="N41" s="72">
        <v>1.9303616118385261</v>
      </c>
      <c r="O41" s="72">
        <v>1.9779065996432625</v>
      </c>
      <c r="P41" s="72">
        <v>1.9350010690613642</v>
      </c>
      <c r="Q41" s="72">
        <v>1.887905604719764</v>
      </c>
      <c r="R41" s="72">
        <v>1.833797745102242</v>
      </c>
      <c r="S41" s="72">
        <v>1.575059639991325</v>
      </c>
      <c r="T41" s="72">
        <v>2.1737281923471632</v>
      </c>
      <c r="U41" s="72">
        <v>2.0754434885790567</v>
      </c>
      <c r="V41" s="72">
        <v>2.1721001896333751</v>
      </c>
      <c r="W41" s="72">
        <v>2.1715222127449367</v>
      </c>
      <c r="X41" s="72">
        <v>2.4461640201917194</v>
      </c>
      <c r="Y41" s="72">
        <v>2.4517977494398044</v>
      </c>
      <c r="Z41" s="72">
        <v>2.4570918376711526</v>
      </c>
      <c r="AA41" s="72">
        <v>2.4340750782064648</v>
      </c>
      <c r="AB41" s="72">
        <v>2.434842194450328</v>
      </c>
    </row>
    <row r="42" spans="1:28" ht="13.5">
      <c r="A42" s="168"/>
      <c r="B42" s="12"/>
      <c r="C42" s="12" t="s">
        <v>25</v>
      </c>
      <c r="D42" s="12"/>
      <c r="E42" s="12"/>
      <c r="F42" s="72">
        <v>1.3142076502732241</v>
      </c>
      <c r="G42" s="72">
        <v>1.2892906815020861</v>
      </c>
      <c r="H42" s="72">
        <v>1.3368107302533532</v>
      </c>
      <c r="I42" s="72">
        <v>1.2982456140350878</v>
      </c>
      <c r="J42" s="72">
        <v>1.4380952380952381</v>
      </c>
      <c r="K42" s="72">
        <v>1.5390199637023594</v>
      </c>
      <c r="L42" s="72">
        <v>1.5314401622718052</v>
      </c>
      <c r="M42" s="72">
        <v>1.2969798657718121</v>
      </c>
      <c r="N42" s="72">
        <v>1.5009380863039399</v>
      </c>
      <c r="O42" s="72">
        <v>1.5550935550935552</v>
      </c>
      <c r="P42" s="72">
        <v>1.6065573770491803</v>
      </c>
      <c r="Q42" s="72">
        <v>1.5888888888888888</v>
      </c>
      <c r="R42" s="72">
        <v>1.6107382550335569</v>
      </c>
      <c r="S42" s="72">
        <v>1.8093220338983051</v>
      </c>
      <c r="T42" s="72">
        <v>2.0204081632653059</v>
      </c>
      <c r="U42" s="72">
        <v>2.1989830508474579</v>
      </c>
      <c r="V42" s="72">
        <v>2.0657777777777775</v>
      </c>
      <c r="W42" s="72">
        <v>2.5389357058823534</v>
      </c>
      <c r="X42" s="72">
        <v>2.3473479047619046</v>
      </c>
      <c r="Y42" s="72">
        <v>2.007077666666667</v>
      </c>
      <c r="Z42" s="72">
        <v>1.211911796093172</v>
      </c>
      <c r="AA42" s="72">
        <v>0</v>
      </c>
      <c r="AB42" s="72">
        <v>1.5514285714285714</v>
      </c>
    </row>
    <row r="43" spans="1:28" ht="13.5">
      <c r="A43" s="168"/>
      <c r="B43" s="12"/>
      <c r="C43" s="12" t="s">
        <v>26</v>
      </c>
      <c r="D43" s="12"/>
      <c r="E43" s="12"/>
      <c r="F43" s="72">
        <v>1.5811719181868436</v>
      </c>
      <c r="G43" s="72">
        <v>1.5595222802087516</v>
      </c>
      <c r="H43" s="72">
        <v>1.5597044956970232</v>
      </c>
      <c r="I43" s="72">
        <v>1.5481338756868621</v>
      </c>
      <c r="J43" s="72">
        <v>1.5687834565777552</v>
      </c>
      <c r="K43" s="72">
        <v>1.598383339116529</v>
      </c>
      <c r="L43" s="72">
        <v>1.6067201064881425</v>
      </c>
      <c r="M43" s="72">
        <v>1.6238385723123248</v>
      </c>
      <c r="N43" s="72">
        <v>1.6523332134884072</v>
      </c>
      <c r="O43" s="72">
        <v>1.687650404557228</v>
      </c>
      <c r="P43" s="72">
        <v>1.6777181438461979</v>
      </c>
      <c r="Q43" s="72">
        <v>1.6693877551020408</v>
      </c>
      <c r="R43" s="72">
        <v>1.6500824241627254</v>
      </c>
      <c r="S43" s="72">
        <v>1.6646908753806744</v>
      </c>
      <c r="T43" s="72">
        <v>1.6551309714770175</v>
      </c>
      <c r="U43" s="72">
        <v>1.6720235236536243</v>
      </c>
      <c r="V43" s="72">
        <v>1.6921736554573885</v>
      </c>
      <c r="W43" s="72">
        <v>1.7026940739783636</v>
      </c>
      <c r="X43" s="72">
        <v>1.6958090116166342</v>
      </c>
      <c r="Y43" s="72">
        <v>1.7324351261595916</v>
      </c>
      <c r="Z43" s="72">
        <v>1.7801423957335243</v>
      </c>
      <c r="AA43" s="72">
        <v>1.7628524414863112</v>
      </c>
      <c r="AB43" s="72">
        <v>1.7020825578444441</v>
      </c>
    </row>
    <row r="44" spans="1:28" ht="13.5">
      <c r="A44" s="168"/>
      <c r="B44" s="12"/>
      <c r="C44" s="12" t="s">
        <v>27</v>
      </c>
      <c r="D44" s="12"/>
      <c r="E44" s="12"/>
      <c r="F44" s="72">
        <v>1.5224921818619197</v>
      </c>
      <c r="G44" s="72">
        <v>1.5294719906391692</v>
      </c>
      <c r="H44" s="72">
        <v>1.4804246090628923</v>
      </c>
      <c r="I44" s="72">
        <v>1.453273731264791</v>
      </c>
      <c r="J44" s="72">
        <v>1.511459838942804</v>
      </c>
      <c r="K44" s="72">
        <v>1.5108040723041762</v>
      </c>
      <c r="L44" s="72">
        <v>1.4562668628893793</v>
      </c>
      <c r="M44" s="72">
        <v>1.4079536810075226</v>
      </c>
      <c r="N44" s="72">
        <v>1.4728371037055055</v>
      </c>
      <c r="O44" s="72">
        <v>1.4960513565891471</v>
      </c>
      <c r="P44" s="72">
        <v>1.5616485600965684</v>
      </c>
      <c r="Q44" s="72">
        <v>1.571914854990242</v>
      </c>
      <c r="R44" s="72">
        <v>1.6103132530120481</v>
      </c>
      <c r="S44" s="72">
        <v>1.6016880273262653</v>
      </c>
      <c r="T44" s="72">
        <v>1.695195127703093</v>
      </c>
      <c r="U44" s="72">
        <v>1.7287067438481714</v>
      </c>
      <c r="V44" s="72">
        <v>1.7805447587063363</v>
      </c>
      <c r="W44" s="72">
        <v>1.8888989277348236</v>
      </c>
      <c r="X44" s="72">
        <v>1.9337839072346417</v>
      </c>
      <c r="Y44" s="72">
        <v>1.9084504029998202</v>
      </c>
      <c r="Z44" s="72">
        <v>1.9984655101197852</v>
      </c>
      <c r="AA44" s="72">
        <v>2.1024129564478953</v>
      </c>
      <c r="AB44" s="72">
        <v>2.1918698305084745</v>
      </c>
    </row>
    <row r="45" spans="1:28" ht="13.5">
      <c r="A45" s="168"/>
      <c r="B45" s="12"/>
      <c r="C45" s="12" t="s">
        <v>28</v>
      </c>
      <c r="D45" s="12"/>
      <c r="E45" s="12"/>
      <c r="F45" s="72">
        <v>1.6416838819262727</v>
      </c>
      <c r="G45" s="72">
        <v>1.6271689677154559</v>
      </c>
      <c r="H45" s="72">
        <v>1.6240381341504937</v>
      </c>
      <c r="I45" s="72">
        <v>1.6211801026894057</v>
      </c>
      <c r="J45" s="72">
        <v>1.6302051013418222</v>
      </c>
      <c r="K45" s="72">
        <v>1.6470886509410354</v>
      </c>
      <c r="L45" s="72">
        <v>1.6480350478662988</v>
      </c>
      <c r="M45" s="72">
        <v>1.6410471059190817</v>
      </c>
      <c r="N45" s="72">
        <v>1.6554343699094884</v>
      </c>
      <c r="O45" s="72">
        <v>1.6787593772830678</v>
      </c>
      <c r="P45" s="72">
        <v>1.7045447972281191</v>
      </c>
      <c r="Q45" s="72">
        <v>1.7001084598698482</v>
      </c>
      <c r="R45" s="72">
        <v>1.6916067424011119</v>
      </c>
      <c r="S45" s="72">
        <v>1.6864501498884337</v>
      </c>
      <c r="T45" s="72">
        <v>1.706815960016941</v>
      </c>
      <c r="U45" s="72">
        <v>1.7411007470103612</v>
      </c>
      <c r="V45" s="72">
        <v>1.7885693572987209</v>
      </c>
      <c r="W45" s="72">
        <v>1.8217544614336858</v>
      </c>
      <c r="X45" s="72">
        <v>1.8191837439620822</v>
      </c>
      <c r="Y45" s="72">
        <v>1.8167154582085188</v>
      </c>
      <c r="Z45" s="72">
        <v>1.8474920909243657</v>
      </c>
      <c r="AA45" s="72">
        <v>1.8857214094196524</v>
      </c>
      <c r="AB45" s="72">
        <v>1.9013330990599617</v>
      </c>
    </row>
    <row r="46" spans="1:28" ht="13.5">
      <c r="A46" s="168"/>
      <c r="B46" s="12"/>
      <c r="C46" s="12" t="s">
        <v>29</v>
      </c>
      <c r="D46" s="12"/>
      <c r="E46" s="12"/>
      <c r="F46" s="72">
        <v>1.157316809025587</v>
      </c>
      <c r="G46" s="72">
        <v>1.1190708168811856</v>
      </c>
      <c r="H46" s="72">
        <v>1.1238814432566127</v>
      </c>
      <c r="I46" s="72">
        <v>1.1388130181001601</v>
      </c>
      <c r="J46" s="72">
        <v>1.1313494926546215</v>
      </c>
      <c r="K46" s="72">
        <v>1.1551692265031657</v>
      </c>
      <c r="L46" s="72">
        <v>1.1540843749302088</v>
      </c>
      <c r="M46" s="72">
        <v>1.1427033808298466</v>
      </c>
      <c r="N46" s="72">
        <v>1.1729405287918435</v>
      </c>
      <c r="O46" s="72">
        <v>1.1980714005149915</v>
      </c>
      <c r="P46" s="72">
        <v>1.1706962600801945</v>
      </c>
      <c r="Q46" s="72">
        <v>1.1573517584265556</v>
      </c>
      <c r="R46" s="72">
        <v>1.1543394766258706</v>
      </c>
      <c r="S46" s="72">
        <v>1.1702618453395788</v>
      </c>
      <c r="T46" s="72">
        <v>1.1858186681685148</v>
      </c>
      <c r="U46" s="72">
        <v>1.2109439192812319</v>
      </c>
      <c r="V46" s="72">
        <v>1.2681352716916265</v>
      </c>
      <c r="W46" s="72">
        <v>1.2828191975114682</v>
      </c>
      <c r="X46" s="72">
        <v>1.28486463959731</v>
      </c>
      <c r="Y46" s="72">
        <v>1.2889392036640321</v>
      </c>
      <c r="Z46" s="72">
        <v>1.3151773264881179</v>
      </c>
      <c r="AA46" s="72">
        <v>1.3349355033346608</v>
      </c>
      <c r="AB46" s="72">
        <v>1.3365565156504977</v>
      </c>
    </row>
    <row r="47" spans="1:28" ht="13.5">
      <c r="A47" s="168"/>
      <c r="B47" s="12"/>
      <c r="C47" s="12" t="s">
        <v>30</v>
      </c>
      <c r="D47" s="12"/>
      <c r="E47" s="12"/>
      <c r="F47" s="72">
        <v>1.3354638527569604</v>
      </c>
      <c r="G47" s="72">
        <v>1.3053548568395417</v>
      </c>
      <c r="H47" s="72">
        <v>1.2779746183083167</v>
      </c>
      <c r="I47" s="72">
        <v>1.280414804266709</v>
      </c>
      <c r="J47" s="72">
        <v>1.310794632785955</v>
      </c>
      <c r="K47" s="72">
        <v>1.3100585675692396</v>
      </c>
      <c r="L47" s="72">
        <v>1.2790734757138729</v>
      </c>
      <c r="M47" s="72">
        <v>1.2481946118863172</v>
      </c>
      <c r="N47" s="72">
        <v>1.2529994019990318</v>
      </c>
      <c r="O47" s="72">
        <v>1.2548997298075433</v>
      </c>
      <c r="P47" s="72">
        <v>1.2570814570037041</v>
      </c>
      <c r="Q47" s="72">
        <v>1.2536276280993899</v>
      </c>
      <c r="R47" s="72">
        <v>1.2532365471315714</v>
      </c>
      <c r="S47" s="72">
        <v>1.2598078897514555</v>
      </c>
      <c r="T47" s="72">
        <v>1.2683744731068076</v>
      </c>
      <c r="U47" s="72">
        <v>1.2983584097233078</v>
      </c>
      <c r="V47" s="72">
        <v>1.3116324131720973</v>
      </c>
      <c r="W47" s="72">
        <v>1.3160411822579547</v>
      </c>
      <c r="X47" s="72">
        <v>1.3149612178790515</v>
      </c>
      <c r="Y47" s="72">
        <v>1.3227480688733224</v>
      </c>
      <c r="Z47" s="72">
        <v>1.3641152955573419</v>
      </c>
      <c r="AA47" s="72">
        <v>1.3972199292099163</v>
      </c>
      <c r="AB47" s="72">
        <v>1.3969853991889081</v>
      </c>
    </row>
    <row r="48" spans="1:28" ht="13.5">
      <c r="A48" s="168"/>
      <c r="B48" s="12"/>
      <c r="C48" s="12" t="s">
        <v>31</v>
      </c>
      <c r="D48" s="12"/>
      <c r="E48" s="12"/>
      <c r="F48" s="75">
        <v>2.9853550704614533</v>
      </c>
      <c r="G48" s="75">
        <v>2.945170416273744</v>
      </c>
      <c r="H48" s="75">
        <v>2.8991785903550609</v>
      </c>
      <c r="I48" s="75">
        <v>2.9934060018839994</v>
      </c>
      <c r="J48" s="75">
        <v>2.87320794423254</v>
      </c>
      <c r="K48" s="75">
        <v>2.8993092454835283</v>
      </c>
      <c r="L48" s="75">
        <v>2.8724822892068342</v>
      </c>
      <c r="M48" s="75">
        <v>2.7881245095474756</v>
      </c>
      <c r="N48" s="75">
        <v>2.8398207426376438</v>
      </c>
      <c r="O48" s="75">
        <v>2.8106970409805623</v>
      </c>
      <c r="P48" s="75">
        <v>2.8178760211436811</v>
      </c>
      <c r="Q48" s="75">
        <v>2.8657888657888657</v>
      </c>
      <c r="R48" s="75">
        <v>2.9327692659501485</v>
      </c>
      <c r="S48" s="75">
        <v>2.9628290588634054</v>
      </c>
      <c r="T48" s="75">
        <v>2.9912426560248311</v>
      </c>
      <c r="U48" s="75">
        <v>2.9969687127855362</v>
      </c>
      <c r="V48" s="75">
        <v>2.9939886099978907</v>
      </c>
      <c r="W48" s="75">
        <v>2.9677784640724729</v>
      </c>
      <c r="X48" s="75">
        <v>2.897763262074426</v>
      </c>
      <c r="Y48" s="75">
        <v>2.9754292761597569</v>
      </c>
      <c r="Z48" s="75">
        <v>2.3190893421430623</v>
      </c>
      <c r="AA48" s="75">
        <v>2.2743657756920355</v>
      </c>
      <c r="AB48" s="75">
        <v>2.0518493150684933</v>
      </c>
    </row>
    <row r="49" spans="1:28" ht="13.5">
      <c r="A49" s="168"/>
      <c r="B49" s="16" t="s">
        <v>129</v>
      </c>
      <c r="C49" s="16"/>
      <c r="D49" s="16"/>
      <c r="E49" s="16"/>
      <c r="F49" s="71">
        <v>1.6812230449304051</v>
      </c>
      <c r="G49" s="71">
        <v>1.6449575570499393</v>
      </c>
      <c r="H49" s="71">
        <v>1.6368888427964294</v>
      </c>
      <c r="I49" s="71">
        <v>1.6328451936267074</v>
      </c>
      <c r="J49" s="71">
        <v>1.6550043002325687</v>
      </c>
      <c r="K49" s="71">
        <v>1.6746972368828268</v>
      </c>
      <c r="L49" s="71">
        <v>1.6657006201827829</v>
      </c>
      <c r="M49" s="71">
        <v>1.6575682591605772</v>
      </c>
      <c r="N49" s="71">
        <v>1.6780641756401717</v>
      </c>
      <c r="O49" s="71">
        <v>1.7026225354360487</v>
      </c>
      <c r="P49" s="71">
        <v>1.7047697010725609</v>
      </c>
      <c r="Q49" s="71">
        <v>1.6926772333206852</v>
      </c>
      <c r="R49" s="71">
        <v>1.6864554541055434</v>
      </c>
      <c r="S49" s="71">
        <v>1.6756595422344855</v>
      </c>
      <c r="T49" s="71">
        <v>1.6562676575415423</v>
      </c>
      <c r="U49" s="71">
        <v>1.6850039205137803</v>
      </c>
      <c r="V49" s="71">
        <v>1.7230252183717474</v>
      </c>
      <c r="W49" s="71">
        <v>1.7480554045257912</v>
      </c>
      <c r="X49" s="71">
        <v>1.7502673242654012</v>
      </c>
      <c r="Y49" s="71">
        <v>1.7582634604255079</v>
      </c>
      <c r="Z49" s="71">
        <v>1.7698493860498794</v>
      </c>
      <c r="AA49" s="71">
        <v>1.7775944743691721</v>
      </c>
      <c r="AB49" s="71">
        <v>1.7666277699281592</v>
      </c>
    </row>
    <row r="50" spans="1:28" ht="13.5">
      <c r="A50" s="168"/>
      <c r="B50" s="12"/>
      <c r="C50" s="12" t="s">
        <v>21</v>
      </c>
      <c r="D50" s="12"/>
      <c r="E50" s="12"/>
      <c r="F50" s="72">
        <v>2.2195069033530572</v>
      </c>
      <c r="G50" s="72">
        <v>2.1013206860106757</v>
      </c>
      <c r="H50" s="72">
        <v>2.1256592731739037</v>
      </c>
      <c r="I50" s="72">
        <v>2.1599433057130395</v>
      </c>
      <c r="J50" s="72">
        <v>2.264757324005247</v>
      </c>
      <c r="K50" s="72">
        <v>2.3059493329012049</v>
      </c>
      <c r="L50" s="72">
        <v>2.2800754080700685</v>
      </c>
      <c r="M50" s="72">
        <v>2.2862932598704688</v>
      </c>
      <c r="N50" s="72">
        <v>2.2910292323192749</v>
      </c>
      <c r="O50" s="72">
        <v>2.3448150876675999</v>
      </c>
      <c r="P50" s="72">
        <v>2.3295983941758918</v>
      </c>
      <c r="Q50" s="72">
        <v>2.2682474935377352</v>
      </c>
      <c r="R50" s="72">
        <v>2.1873830601245499</v>
      </c>
      <c r="S50" s="72">
        <v>1.9991089578959602</v>
      </c>
      <c r="T50" s="72">
        <v>1.7504492048414306</v>
      </c>
      <c r="U50" s="72">
        <v>1.8902363315338666</v>
      </c>
      <c r="V50" s="72">
        <v>2.0128640363986312</v>
      </c>
      <c r="W50" s="72">
        <v>2.1142535044668449</v>
      </c>
      <c r="X50" s="72">
        <v>2.2063340270677414</v>
      </c>
      <c r="Y50" s="72">
        <v>2.1584397073808681</v>
      </c>
      <c r="Z50" s="72">
        <v>1.9398516445337048</v>
      </c>
      <c r="AA50" s="72">
        <v>1.9301963984921506</v>
      </c>
      <c r="AB50" s="72">
        <v>1.9449213538387684</v>
      </c>
    </row>
    <row r="51" spans="1:28" ht="13.5">
      <c r="A51" s="168"/>
      <c r="B51" s="12"/>
      <c r="C51" s="12"/>
      <c r="D51" s="12" t="s">
        <v>23</v>
      </c>
      <c r="E51" s="12"/>
      <c r="F51" s="72">
        <v>2.3756062325869363</v>
      </c>
      <c r="G51" s="72">
        <v>2.2077407174323476</v>
      </c>
      <c r="H51" s="72">
        <v>2.2351464831418109</v>
      </c>
      <c r="I51" s="72">
        <v>2.289751901868474</v>
      </c>
      <c r="J51" s="72">
        <v>2.4150011113200773</v>
      </c>
      <c r="K51" s="72">
        <v>2.4940141900669532</v>
      </c>
      <c r="L51" s="72">
        <v>2.4680326606069944</v>
      </c>
      <c r="M51" s="72">
        <v>2.5128540305010891</v>
      </c>
      <c r="N51" s="72">
        <v>2.5175897336583812</v>
      </c>
      <c r="O51" s="72">
        <v>2.5543169297717698</v>
      </c>
      <c r="P51" s="72">
        <v>2.5423545144332751</v>
      </c>
      <c r="Q51" s="72">
        <v>2.468079772079772</v>
      </c>
      <c r="R51" s="72">
        <v>2.3581826841440434</v>
      </c>
      <c r="S51" s="72">
        <v>2.160551186280645</v>
      </c>
      <c r="T51" s="72">
        <v>1.7260130042373223</v>
      </c>
      <c r="U51" s="72">
        <v>1.879281673878924</v>
      </c>
      <c r="V51" s="72">
        <v>2.0019872593680246</v>
      </c>
      <c r="W51" s="72">
        <v>2.1101025381315046</v>
      </c>
      <c r="X51" s="72">
        <v>2.191272848489894</v>
      </c>
      <c r="Y51" s="72">
        <v>2.1398073535386208</v>
      </c>
      <c r="Z51" s="72">
        <v>1.9151791815374746</v>
      </c>
      <c r="AA51" s="72">
        <v>1.9095272600485167</v>
      </c>
      <c r="AB51" s="72">
        <v>1.927982124235224</v>
      </c>
    </row>
    <row r="52" spans="1:28" ht="13.5">
      <c r="A52" s="168"/>
      <c r="B52" s="12"/>
      <c r="C52" s="12"/>
      <c r="D52" s="12" t="s">
        <v>24</v>
      </c>
      <c r="E52" s="12"/>
      <c r="F52" s="72">
        <v>2.0096638461182779</v>
      </c>
      <c r="G52" s="72">
        <v>1.9633716068770013</v>
      </c>
      <c r="H52" s="72">
        <v>1.9792510976021613</v>
      </c>
      <c r="I52" s="72">
        <v>1.9962405242722436</v>
      </c>
      <c r="J52" s="72">
        <v>2.076638194935029</v>
      </c>
      <c r="K52" s="72">
        <v>2.0846978603338817</v>
      </c>
      <c r="L52" s="72">
        <v>2.0663830851995497</v>
      </c>
      <c r="M52" s="72">
        <v>1.9350065871702193</v>
      </c>
      <c r="N52" s="72">
        <v>1.9303616118385261</v>
      </c>
      <c r="O52" s="72">
        <v>1.9779065996432625</v>
      </c>
      <c r="P52" s="72">
        <v>1.9350010690613642</v>
      </c>
      <c r="Q52" s="72">
        <v>1.887905604719764</v>
      </c>
      <c r="R52" s="72">
        <v>1.833797745102242</v>
      </c>
      <c r="S52" s="72">
        <v>1.575059639991325</v>
      </c>
      <c r="T52" s="72">
        <v>2.1737281923471632</v>
      </c>
      <c r="U52" s="72">
        <v>2.0754434885790567</v>
      </c>
      <c r="V52" s="72">
        <v>2.1721001896333751</v>
      </c>
      <c r="W52" s="72">
        <v>2.1715222127449367</v>
      </c>
      <c r="X52" s="72">
        <v>2.4461640201917194</v>
      </c>
      <c r="Y52" s="72">
        <v>2.4517977494398044</v>
      </c>
      <c r="Z52" s="72">
        <v>2.4570918376711526</v>
      </c>
      <c r="AA52" s="72">
        <v>2.4340750782064648</v>
      </c>
      <c r="AB52" s="72">
        <v>2.434842194450328</v>
      </c>
    </row>
    <row r="53" spans="1:28" ht="13.5">
      <c r="A53" s="168"/>
      <c r="B53" s="12"/>
      <c r="C53" s="12" t="s">
        <v>25</v>
      </c>
      <c r="D53" s="12"/>
      <c r="E53" s="12"/>
      <c r="F53" s="72">
        <v>1.3142076502732241</v>
      </c>
      <c r="G53" s="72">
        <v>1.2892906815020861</v>
      </c>
      <c r="H53" s="72">
        <v>1.3368107302533532</v>
      </c>
      <c r="I53" s="72">
        <v>1.2982456140350878</v>
      </c>
      <c r="J53" s="72">
        <v>1.4380952380952381</v>
      </c>
      <c r="K53" s="72">
        <v>1.5390199637023594</v>
      </c>
      <c r="L53" s="72">
        <v>1.5314401622718052</v>
      </c>
      <c r="M53" s="72">
        <v>1.2969798657718121</v>
      </c>
      <c r="N53" s="72">
        <v>1.5009380863039399</v>
      </c>
      <c r="O53" s="72">
        <v>1.5550935550935552</v>
      </c>
      <c r="P53" s="72">
        <v>1.6065573770491803</v>
      </c>
      <c r="Q53" s="72">
        <v>1.5888888888888888</v>
      </c>
      <c r="R53" s="72">
        <v>1.6107382550335569</v>
      </c>
      <c r="S53" s="72">
        <v>1.8093220338983051</v>
      </c>
      <c r="T53" s="72">
        <v>2.0204081632653059</v>
      </c>
      <c r="U53" s="72">
        <v>2.1989830508474579</v>
      </c>
      <c r="V53" s="72">
        <v>2.0657777777777775</v>
      </c>
      <c r="W53" s="72">
        <v>2.5389357058823534</v>
      </c>
      <c r="X53" s="72">
        <v>2.3473479047619046</v>
      </c>
      <c r="Y53" s="72">
        <v>2.007077666666667</v>
      </c>
      <c r="Z53" s="72">
        <v>1.211911796093172</v>
      </c>
      <c r="AA53" s="72">
        <v>0</v>
      </c>
      <c r="AB53" s="72">
        <v>1.5514285714285714</v>
      </c>
    </row>
    <row r="54" spans="1:28" ht="13.5">
      <c r="A54" s="168"/>
      <c r="B54" s="12"/>
      <c r="C54" s="12" t="s">
        <v>26</v>
      </c>
      <c r="D54" s="12"/>
      <c r="E54" s="12"/>
      <c r="F54" s="72">
        <v>1.622730016102234</v>
      </c>
      <c r="G54" s="72">
        <v>1.5961667489524389</v>
      </c>
      <c r="H54" s="72">
        <v>1.5927116536854213</v>
      </c>
      <c r="I54" s="72">
        <v>1.5797087641624867</v>
      </c>
      <c r="J54" s="72">
        <v>1.6001658472801414</v>
      </c>
      <c r="K54" s="72">
        <v>1.6312093606764659</v>
      </c>
      <c r="L54" s="72">
        <v>1.635786971364757</v>
      </c>
      <c r="M54" s="72">
        <v>1.6585477468475598</v>
      </c>
      <c r="N54" s="72">
        <v>1.6902691493194382</v>
      </c>
      <c r="O54" s="72">
        <v>1.7294075700412943</v>
      </c>
      <c r="P54" s="72">
        <v>1.7211980895800572</v>
      </c>
      <c r="Q54" s="72">
        <v>1.7156546442687748</v>
      </c>
      <c r="R54" s="72">
        <v>1.7131682335663809</v>
      </c>
      <c r="S54" s="72">
        <v>1.7087729524270772</v>
      </c>
      <c r="T54" s="72">
        <v>1.6959734625590652</v>
      </c>
      <c r="U54" s="72">
        <v>1.7125844552568223</v>
      </c>
      <c r="V54" s="72">
        <v>1.7341829769262123</v>
      </c>
      <c r="W54" s="72">
        <v>1.7484674221096974</v>
      </c>
      <c r="X54" s="72">
        <v>1.7415422568312837</v>
      </c>
      <c r="Y54" s="72">
        <v>1.7743061154722697</v>
      </c>
      <c r="Z54" s="72">
        <v>1.8145725461006257</v>
      </c>
      <c r="AA54" s="72">
        <v>1.80245577724763</v>
      </c>
      <c r="AB54" s="72">
        <v>1.7478445502659901</v>
      </c>
    </row>
    <row r="55" spans="1:28" ht="13.5">
      <c r="A55" s="168"/>
      <c r="B55" s="12"/>
      <c r="C55" s="12" t="s">
        <v>27</v>
      </c>
      <c r="D55" s="12"/>
      <c r="E55" s="12"/>
      <c r="F55" s="72">
        <v>1.5243863049095607</v>
      </c>
      <c r="G55" s="72">
        <v>1.531537499080003</v>
      </c>
      <c r="H55" s="72">
        <v>1.528516654684879</v>
      </c>
      <c r="I55" s="72">
        <v>1.5717549203373946</v>
      </c>
      <c r="J55" s="72">
        <v>1.630408550249957</v>
      </c>
      <c r="K55" s="72">
        <v>1.6279727545601477</v>
      </c>
      <c r="L55" s="72">
        <v>1.5838803994042037</v>
      </c>
      <c r="M55" s="72">
        <v>1.5261910405309316</v>
      </c>
      <c r="N55" s="72">
        <v>1.5909604519774012</v>
      </c>
      <c r="O55" s="72">
        <v>1.6082900626678602</v>
      </c>
      <c r="P55" s="72">
        <v>1.6726900946312235</v>
      </c>
      <c r="Q55" s="72">
        <v>1.6754412204606641</v>
      </c>
      <c r="R55" s="72">
        <v>1.7067234400462599</v>
      </c>
      <c r="S55" s="72">
        <v>1.7088455948255199</v>
      </c>
      <c r="T55" s="72">
        <v>1.7946161223741095</v>
      </c>
      <c r="U55" s="72">
        <v>1.8361455748491227</v>
      </c>
      <c r="V55" s="72">
        <v>1.8939590665269215</v>
      </c>
      <c r="W55" s="72">
        <v>1.97816508450985</v>
      </c>
      <c r="X55" s="72">
        <v>1.9742513368974097</v>
      </c>
      <c r="Y55" s="72">
        <v>1.9481716695234506</v>
      </c>
      <c r="Z55" s="72">
        <v>2.0238737664027764</v>
      </c>
      <c r="AA55" s="72">
        <v>2.1613762755102042</v>
      </c>
      <c r="AB55" s="72">
        <v>2.248406085596474</v>
      </c>
    </row>
    <row r="56" spans="1:28" ht="13.5">
      <c r="A56" s="168"/>
      <c r="B56" s="12"/>
      <c r="C56" s="12" t="s">
        <v>28</v>
      </c>
      <c r="D56" s="12"/>
      <c r="E56" s="12"/>
      <c r="F56" s="72">
        <v>1.6416838819262727</v>
      </c>
      <c r="G56" s="72">
        <v>1.6271689677154559</v>
      </c>
      <c r="H56" s="72">
        <v>1.6240381341504937</v>
      </c>
      <c r="I56" s="72">
        <v>1.6211801026894057</v>
      </c>
      <c r="J56" s="72">
        <v>1.6302051013418222</v>
      </c>
      <c r="K56" s="72">
        <v>1.6470886509410354</v>
      </c>
      <c r="L56" s="72">
        <v>1.6480350478662988</v>
      </c>
      <c r="M56" s="72">
        <v>1.6410471059190817</v>
      </c>
      <c r="N56" s="72">
        <v>1.6554343699094884</v>
      </c>
      <c r="O56" s="72">
        <v>1.6787593772830678</v>
      </c>
      <c r="P56" s="72">
        <v>1.7045447972281191</v>
      </c>
      <c r="Q56" s="72">
        <v>1.7001084598698482</v>
      </c>
      <c r="R56" s="72">
        <v>1.6916067424011119</v>
      </c>
      <c r="S56" s="72">
        <v>1.6864501498884337</v>
      </c>
      <c r="T56" s="72">
        <v>1.706815960016941</v>
      </c>
      <c r="U56" s="72">
        <v>1.7411007470103612</v>
      </c>
      <c r="V56" s="72">
        <v>1.7885693572987209</v>
      </c>
      <c r="W56" s="72">
        <v>1.8217544614336858</v>
      </c>
      <c r="X56" s="72">
        <v>1.8191837439620822</v>
      </c>
      <c r="Y56" s="72">
        <v>1.8167154582085188</v>
      </c>
      <c r="Z56" s="72">
        <v>1.8474920909243657</v>
      </c>
      <c r="AA56" s="72">
        <v>1.8857214094196524</v>
      </c>
      <c r="AB56" s="72">
        <v>1.9013330990599617</v>
      </c>
    </row>
    <row r="57" spans="1:28" ht="13.5">
      <c r="A57" s="168"/>
      <c r="B57" s="12"/>
      <c r="C57" s="12" t="s">
        <v>29</v>
      </c>
      <c r="D57" s="12"/>
      <c r="E57" s="12"/>
      <c r="F57" s="72">
        <v>1.313919780741053</v>
      </c>
      <c r="G57" s="72">
        <v>1.2712674440833494</v>
      </c>
      <c r="H57" s="72">
        <v>1.2678417934053843</v>
      </c>
      <c r="I57" s="72">
        <v>1.299903632818628</v>
      </c>
      <c r="J57" s="72">
        <v>1.2974420246564926</v>
      </c>
      <c r="K57" s="72">
        <v>1.323289064952214</v>
      </c>
      <c r="L57" s="72">
        <v>1.3247967695659104</v>
      </c>
      <c r="M57" s="72">
        <v>1.3039836526594777</v>
      </c>
      <c r="N57" s="72">
        <v>1.339123948321882</v>
      </c>
      <c r="O57" s="72">
        <v>1.3645958626353882</v>
      </c>
      <c r="P57" s="72">
        <v>1.3399778398073767</v>
      </c>
      <c r="Q57" s="72">
        <v>1.3226970179639455</v>
      </c>
      <c r="R57" s="72">
        <v>1.3255958807408024</v>
      </c>
      <c r="S57" s="72">
        <v>1.3296409124979212</v>
      </c>
      <c r="T57" s="72">
        <v>1.3135922779489462</v>
      </c>
      <c r="U57" s="72">
        <v>1.3156367310132375</v>
      </c>
      <c r="V57" s="72">
        <v>1.3669948194301265</v>
      </c>
      <c r="W57" s="72">
        <v>1.3808927521417311</v>
      </c>
      <c r="X57" s="72">
        <v>1.3777733545027901</v>
      </c>
      <c r="Y57" s="72">
        <v>1.3704303625485663</v>
      </c>
      <c r="Z57" s="72">
        <v>1.4145030436022366</v>
      </c>
      <c r="AA57" s="72">
        <v>1.4221156961018235</v>
      </c>
      <c r="AB57" s="72">
        <v>1.435970707672243</v>
      </c>
    </row>
    <row r="58" spans="1:28" ht="13.5">
      <c r="A58" s="168"/>
      <c r="B58" s="12"/>
      <c r="C58" s="12" t="s">
        <v>30</v>
      </c>
      <c r="D58" s="12"/>
      <c r="E58" s="12"/>
      <c r="F58" s="72">
        <v>1.6363972698986251</v>
      </c>
      <c r="G58" s="72">
        <v>1.6173259086044944</v>
      </c>
      <c r="H58" s="72">
        <v>1.5849060449190886</v>
      </c>
      <c r="I58" s="72">
        <v>1.5591609841363401</v>
      </c>
      <c r="J58" s="72">
        <v>1.5791532394843961</v>
      </c>
      <c r="K58" s="72">
        <v>1.5892424769800335</v>
      </c>
      <c r="L58" s="72">
        <v>1.5615223236108848</v>
      </c>
      <c r="M58" s="72">
        <v>1.5109458295931266</v>
      </c>
      <c r="N58" s="72">
        <v>1.5110745775324259</v>
      </c>
      <c r="O58" s="72">
        <v>1.4936463160722682</v>
      </c>
      <c r="P58" s="72">
        <v>1.5188216576180558</v>
      </c>
      <c r="Q58" s="72">
        <v>1.5042832258218464</v>
      </c>
      <c r="R58" s="72">
        <v>1.4973229801023842</v>
      </c>
      <c r="S58" s="72">
        <v>1.5092103074904151</v>
      </c>
      <c r="T58" s="72">
        <v>1.5076240268092693</v>
      </c>
      <c r="U58" s="72">
        <v>1.4749601263180532</v>
      </c>
      <c r="V58" s="72">
        <v>1.4904453602835968</v>
      </c>
      <c r="W58" s="72">
        <v>1.4915126661685632</v>
      </c>
      <c r="X58" s="72">
        <v>1.5008945727474152</v>
      </c>
      <c r="Y58" s="72">
        <v>1.4877666594492474</v>
      </c>
      <c r="Z58" s="72">
        <v>1.5176571805366077</v>
      </c>
      <c r="AA58" s="72">
        <v>1.5267759983585056</v>
      </c>
      <c r="AB58" s="72">
        <v>1.5549531334940538</v>
      </c>
    </row>
    <row r="59" spans="1:28" ht="13.5">
      <c r="A59" s="168"/>
      <c r="B59" s="13"/>
      <c r="C59" s="13" t="s">
        <v>31</v>
      </c>
      <c r="D59" s="13"/>
      <c r="E59" s="13"/>
      <c r="F59" s="72">
        <v>3.0284441890532969</v>
      </c>
      <c r="G59" s="72">
        <v>3.0008438818565399</v>
      </c>
      <c r="H59" s="72">
        <v>2.9471147224900149</v>
      </c>
      <c r="I59" s="72">
        <v>3.0496274427105301</v>
      </c>
      <c r="J59" s="72">
        <v>2.9199672220704724</v>
      </c>
      <c r="K59" s="72">
        <v>2.9482330204307012</v>
      </c>
      <c r="L59" s="72">
        <v>2.9283221866821751</v>
      </c>
      <c r="M59" s="72">
        <v>2.8568055555555554</v>
      </c>
      <c r="N59" s="72">
        <v>2.9155276107162384</v>
      </c>
      <c r="O59" s="72">
        <v>2.8891417860490027</v>
      </c>
      <c r="P59" s="72">
        <v>2.8987654320987652</v>
      </c>
      <c r="Q59" s="72">
        <v>2.9485210824417871</v>
      </c>
      <c r="R59" s="72">
        <v>3.0673904904530138</v>
      </c>
      <c r="S59" s="72">
        <v>3.0964404483310752</v>
      </c>
      <c r="T59" s="72">
        <v>3.0692749461593682</v>
      </c>
      <c r="U59" s="72">
        <v>3.0748656855874796</v>
      </c>
      <c r="V59" s="72">
        <v>3.0513340087808172</v>
      </c>
      <c r="W59" s="72">
        <v>3.0387382401770893</v>
      </c>
      <c r="X59" s="72">
        <v>2.9617295697219581</v>
      </c>
      <c r="Y59" s="72">
        <v>3.0377035994369597</v>
      </c>
      <c r="Z59" s="72">
        <v>2.3428379487945064</v>
      </c>
      <c r="AA59" s="72">
        <v>2.2934009437284315</v>
      </c>
      <c r="AB59" s="72">
        <v>2.0693298359686714</v>
      </c>
    </row>
    <row r="60" spans="1:28" ht="13.5">
      <c r="A60" s="168"/>
      <c r="B60" s="16" t="s">
        <v>130</v>
      </c>
      <c r="C60" s="16"/>
      <c r="D60" s="16"/>
      <c r="E60" s="16"/>
      <c r="F60" s="71">
        <v>0.6022241590186167</v>
      </c>
      <c r="G60" s="71">
        <v>0.60656238949903296</v>
      </c>
      <c r="H60" s="71">
        <v>0.60552858316989511</v>
      </c>
      <c r="I60" s="71">
        <v>0.60488567583303054</v>
      </c>
      <c r="J60" s="71">
        <v>0.60113604345441241</v>
      </c>
      <c r="K60" s="71">
        <v>0.59206068040580417</v>
      </c>
      <c r="L60" s="71">
        <v>0.60050056726372603</v>
      </c>
      <c r="M60" s="71">
        <v>0.60691395662468539</v>
      </c>
      <c r="N60" s="71">
        <v>0.61770349412647407</v>
      </c>
      <c r="O60" s="71">
        <v>0.62530803911705068</v>
      </c>
      <c r="P60" s="71">
        <v>0.63130833552610588</v>
      </c>
      <c r="Q60" s="71">
        <v>0.63511950170339715</v>
      </c>
      <c r="R60" s="71">
        <v>0.63565382507390278</v>
      </c>
      <c r="S60" s="71">
        <v>0.63867729746624313</v>
      </c>
      <c r="T60" s="71">
        <v>0.65150731688094932</v>
      </c>
      <c r="U60" s="71">
        <v>0.65428514359497214</v>
      </c>
      <c r="V60" s="71">
        <v>0.66132207761584116</v>
      </c>
      <c r="W60" s="71">
        <v>0.66646247316915164</v>
      </c>
      <c r="X60" s="71">
        <v>0.67676660580156156</v>
      </c>
      <c r="Y60" s="71">
        <v>0.67749468932414525</v>
      </c>
      <c r="Z60" s="71">
        <v>0.68901365809353821</v>
      </c>
      <c r="AA60" s="71">
        <v>0.69032264139202881</v>
      </c>
      <c r="AB60" s="71">
        <v>0.6836070786129127</v>
      </c>
    </row>
    <row r="61" spans="1:28" ht="13.5">
      <c r="A61" s="168"/>
      <c r="B61" s="12"/>
      <c r="C61" s="12" t="s">
        <v>21</v>
      </c>
      <c r="D61" s="12"/>
      <c r="E61" s="12"/>
      <c r="F61" s="72">
        <v>0.58996883406076672</v>
      </c>
      <c r="G61" s="72">
        <v>0.59460282378942664</v>
      </c>
      <c r="H61" s="72">
        <v>0.59314474113196736</v>
      </c>
      <c r="I61" s="72">
        <v>0.5926664966497307</v>
      </c>
      <c r="J61" s="72">
        <v>0.58792675076781287</v>
      </c>
      <c r="K61" s="72">
        <v>0.57864625996607322</v>
      </c>
      <c r="L61" s="72">
        <v>0.58623063928485475</v>
      </c>
      <c r="M61" s="72">
        <v>0.59392206854485241</v>
      </c>
      <c r="N61" s="72">
        <v>0.60436307600931138</v>
      </c>
      <c r="O61" s="72">
        <v>0.60988985491734815</v>
      </c>
      <c r="P61" s="72">
        <v>0.61687764871717421</v>
      </c>
      <c r="Q61" s="72">
        <v>0.61880111875222688</v>
      </c>
      <c r="R61" s="72">
        <v>0.62293525739261479</v>
      </c>
      <c r="S61" s="72">
        <v>0.61961267380798346</v>
      </c>
      <c r="T61" s="72">
        <v>0.62822980872902323</v>
      </c>
      <c r="U61" s="72">
        <v>0.62205807421360648</v>
      </c>
      <c r="V61" s="72">
        <v>0.62665953142833641</v>
      </c>
      <c r="W61" s="72">
        <v>0.62985718605536456</v>
      </c>
      <c r="X61" s="72">
        <v>0.64069708968972827</v>
      </c>
      <c r="Y61" s="72">
        <v>0.63654357614709511</v>
      </c>
      <c r="Z61" s="72">
        <v>0.64443557836637633</v>
      </c>
      <c r="AA61" s="72">
        <v>0.64398833766096131</v>
      </c>
      <c r="AB61" s="72">
        <v>0.64057210363357797</v>
      </c>
    </row>
    <row r="62" spans="1:28" ht="13.5">
      <c r="A62" s="168"/>
      <c r="B62" s="12"/>
      <c r="C62" s="12"/>
      <c r="D62" s="12" t="s">
        <v>22</v>
      </c>
      <c r="E62" s="12"/>
      <c r="F62" s="72">
        <v>0.58898454462108152</v>
      </c>
      <c r="G62" s="72">
        <v>0.59326361398840011</v>
      </c>
      <c r="H62" s="72">
        <v>0.59289859542904688</v>
      </c>
      <c r="I62" s="72">
        <v>0.59194967643103125</v>
      </c>
      <c r="J62" s="72">
        <v>0.58667138357438642</v>
      </c>
      <c r="K62" s="72">
        <v>0.57720883230606079</v>
      </c>
      <c r="L62" s="72">
        <v>0.58454394210373073</v>
      </c>
      <c r="M62" s="72">
        <v>0.59257539585119723</v>
      </c>
      <c r="N62" s="72">
        <v>0.6028665061050883</v>
      </c>
      <c r="O62" s="72">
        <v>0.60868145260812911</v>
      </c>
      <c r="P62" s="72">
        <v>0.61588726546445194</v>
      </c>
      <c r="Q62" s="72">
        <v>0.61778459499226002</v>
      </c>
      <c r="R62" s="72">
        <v>0.62187750104953599</v>
      </c>
      <c r="S62" s="72">
        <v>0.61862952255724046</v>
      </c>
      <c r="T62" s="72">
        <v>0.62765389720304809</v>
      </c>
      <c r="U62" s="72">
        <v>0.62121659093029491</v>
      </c>
      <c r="V62" s="72">
        <v>0.62532049512388665</v>
      </c>
      <c r="W62" s="72">
        <v>0.6287858384480387</v>
      </c>
      <c r="X62" s="72">
        <v>0.63933995026938095</v>
      </c>
      <c r="Y62" s="72">
        <v>0.6351363525558853</v>
      </c>
      <c r="Z62" s="72">
        <v>0.64341720193926988</v>
      </c>
      <c r="AA62" s="72">
        <v>0.64294311081862121</v>
      </c>
      <c r="AB62" s="72">
        <v>0.63957674086013738</v>
      </c>
    </row>
    <row r="63" spans="1:28" ht="13.5">
      <c r="A63" s="168"/>
      <c r="B63" s="12"/>
      <c r="C63" s="12"/>
      <c r="D63" s="12" t="s">
        <v>23</v>
      </c>
      <c r="E63" s="12"/>
      <c r="F63" s="72">
        <v>0.6752111127766951</v>
      </c>
      <c r="G63" s="72">
        <v>0.73979034021480483</v>
      </c>
      <c r="H63" s="72">
        <v>0.61707444644621379</v>
      </c>
      <c r="I63" s="72">
        <v>0.66570392674983103</v>
      </c>
      <c r="J63" s="72">
        <v>0.74422417647935613</v>
      </c>
      <c r="K63" s="72">
        <v>0.78317555223384816</v>
      </c>
      <c r="L63" s="72">
        <v>0.88220983274201725</v>
      </c>
      <c r="M63" s="72">
        <v>0.85151996370235938</v>
      </c>
      <c r="N63" s="72">
        <v>0.9101935606060606</v>
      </c>
      <c r="O63" s="72">
        <v>0.93918801184875411</v>
      </c>
      <c r="P63" s="72">
        <v>0.89444648767929391</v>
      </c>
      <c r="Q63" s="72">
        <v>0.9012138188608777</v>
      </c>
      <c r="R63" s="72">
        <v>0.91972920696324956</v>
      </c>
      <c r="S63" s="72">
        <v>0.89755158265878632</v>
      </c>
      <c r="T63" s="72">
        <v>0.78887995434161262</v>
      </c>
      <c r="U63" s="72">
        <v>0.83895734267240107</v>
      </c>
      <c r="V63" s="72">
        <v>0.98160378502004619</v>
      </c>
      <c r="W63" s="72">
        <v>0.91013611314369891</v>
      </c>
      <c r="X63" s="72">
        <v>0.94351529605263162</v>
      </c>
      <c r="Y63" s="72">
        <v>0.95300243325447787</v>
      </c>
      <c r="Z63" s="72">
        <v>0.8683761046906866</v>
      </c>
      <c r="AA63" s="72">
        <v>0.8674038882451397</v>
      </c>
      <c r="AB63" s="72">
        <v>0.83923988972621122</v>
      </c>
    </row>
    <row r="64" spans="1:28" ht="13.5">
      <c r="A64" s="168"/>
      <c r="B64" s="12"/>
      <c r="C64" s="12" t="s">
        <v>25</v>
      </c>
      <c r="D64" s="12"/>
      <c r="E64" s="12"/>
      <c r="F64" s="72">
        <v>0</v>
      </c>
      <c r="G64" s="72">
        <v>0</v>
      </c>
      <c r="H64" s="72">
        <v>0</v>
      </c>
      <c r="I64" s="72">
        <v>0</v>
      </c>
      <c r="J64" s="72">
        <v>0</v>
      </c>
      <c r="K64" s="72">
        <v>0</v>
      </c>
      <c r="L64" s="72">
        <v>0</v>
      </c>
      <c r="M64" s="72">
        <v>0</v>
      </c>
      <c r="N64" s="72">
        <v>0</v>
      </c>
      <c r="O64" s="72">
        <v>0</v>
      </c>
      <c r="P64" s="72">
        <v>0</v>
      </c>
      <c r="Q64" s="72">
        <v>0</v>
      </c>
      <c r="R64" s="72">
        <v>0</v>
      </c>
      <c r="S64" s="72">
        <v>0</v>
      </c>
      <c r="T64" s="72">
        <v>0</v>
      </c>
      <c r="U64" s="72">
        <v>0</v>
      </c>
      <c r="V64" s="72">
        <v>0</v>
      </c>
      <c r="W64" s="72">
        <v>0</v>
      </c>
      <c r="X64" s="72">
        <v>0</v>
      </c>
      <c r="Y64" s="72">
        <v>0</v>
      </c>
      <c r="Z64" s="72">
        <v>0</v>
      </c>
      <c r="AA64" s="72">
        <v>0</v>
      </c>
      <c r="AB64" s="72">
        <v>0</v>
      </c>
    </row>
    <row r="65" spans="1:28" ht="13.5">
      <c r="A65" s="168"/>
      <c r="B65" s="12"/>
      <c r="C65" s="12" t="s">
        <v>26</v>
      </c>
      <c r="D65" s="12"/>
      <c r="E65" s="12"/>
      <c r="F65" s="72">
        <v>0.80970714193018123</v>
      </c>
      <c r="G65" s="72">
        <v>0.84308225393944392</v>
      </c>
      <c r="H65" s="72">
        <v>0.8868624664456024</v>
      </c>
      <c r="I65" s="72">
        <v>0.87781082688875667</v>
      </c>
      <c r="J65" s="72">
        <v>0.88241709415518843</v>
      </c>
      <c r="K65" s="72">
        <v>0.90929827471798275</v>
      </c>
      <c r="L65" s="72">
        <v>1.0099881995954147</v>
      </c>
      <c r="M65" s="72">
        <v>0.90854819172867274</v>
      </c>
      <c r="N65" s="72">
        <v>0.90747066942719112</v>
      </c>
      <c r="O65" s="72">
        <v>0.91740302460697198</v>
      </c>
      <c r="P65" s="72">
        <v>0.95729623225702687</v>
      </c>
      <c r="Q65" s="72">
        <v>0.95996212121212121</v>
      </c>
      <c r="R65" s="72">
        <v>0.73630049816370313</v>
      </c>
      <c r="S65" s="72">
        <v>1.0323854941456991</v>
      </c>
      <c r="T65" s="72">
        <v>1.0743507776301138</v>
      </c>
      <c r="U65" s="72">
        <v>1.0994072637137622</v>
      </c>
      <c r="V65" s="72">
        <v>1.1183212296411196</v>
      </c>
      <c r="W65" s="72">
        <v>1.1281478400381881</v>
      </c>
      <c r="X65" s="72">
        <v>1.137476012677936</v>
      </c>
      <c r="Y65" s="72">
        <v>1.224944186556481</v>
      </c>
      <c r="Z65" s="72">
        <v>1.3673408329344183</v>
      </c>
      <c r="AA65" s="72">
        <v>1.3172778468829001</v>
      </c>
      <c r="AB65" s="72">
        <v>1.2386327148668057</v>
      </c>
    </row>
    <row r="66" spans="1:28" ht="13.5">
      <c r="A66" s="168"/>
      <c r="B66" s="12"/>
      <c r="C66" s="12" t="s">
        <v>27</v>
      </c>
      <c r="D66" s="12"/>
      <c r="E66" s="12"/>
      <c r="F66" s="72">
        <v>1.2528735632183907</v>
      </c>
      <c r="G66" s="72">
        <v>1.2068965517241379</v>
      </c>
      <c r="H66" s="72">
        <v>0.51325301204819274</v>
      </c>
      <c r="I66" s="72">
        <v>0.41224909933093157</v>
      </c>
      <c r="J66" s="72">
        <v>0.46013204672422547</v>
      </c>
      <c r="K66" s="72">
        <v>0.4579875518672199</v>
      </c>
      <c r="L66" s="72">
        <v>0.43179805137289634</v>
      </c>
      <c r="M66" s="72">
        <v>0.43630697312037398</v>
      </c>
      <c r="N66" s="72">
        <v>0.44431326249508069</v>
      </c>
      <c r="O66" s="72">
        <v>0.46334431630971995</v>
      </c>
      <c r="P66" s="72">
        <v>0.48407937240424548</v>
      </c>
      <c r="Q66" s="72">
        <v>0.52050632911392403</v>
      </c>
      <c r="R66" s="72">
        <v>0.54834973943254195</v>
      </c>
      <c r="S66" s="72">
        <v>0.50088183421516752</v>
      </c>
      <c r="T66" s="72">
        <v>0.5547391623806025</v>
      </c>
      <c r="U66" s="72">
        <v>0.55669291338582683</v>
      </c>
      <c r="V66" s="72">
        <v>0.57850545759865657</v>
      </c>
      <c r="W66" s="72">
        <v>0.69882352941176473</v>
      </c>
      <c r="X66" s="72">
        <v>1.0779727095516569</v>
      </c>
      <c r="Y66" s="72">
        <v>1.0910852713178294</v>
      </c>
      <c r="Z66" s="72">
        <v>1.4924406047516199</v>
      </c>
      <c r="AA66" s="72">
        <v>0.95533498759305213</v>
      </c>
      <c r="AB66" s="72">
        <v>1.0292397660818713</v>
      </c>
    </row>
    <row r="67" spans="1:28" ht="13.5">
      <c r="A67" s="168"/>
      <c r="B67" s="12"/>
      <c r="C67" s="12" t="s">
        <v>29</v>
      </c>
      <c r="D67" s="12"/>
      <c r="E67" s="12"/>
      <c r="F67" s="72">
        <v>0.76501072784287838</v>
      </c>
      <c r="G67" s="72">
        <v>0.73665565896127294</v>
      </c>
      <c r="H67" s="72">
        <v>0.75920334455928462</v>
      </c>
      <c r="I67" s="72">
        <v>0.74318188072763303</v>
      </c>
      <c r="J67" s="72">
        <v>0.73127338374192197</v>
      </c>
      <c r="K67" s="72">
        <v>0.74024308801923333</v>
      </c>
      <c r="L67" s="72">
        <v>0.75469868735083534</v>
      </c>
      <c r="M67" s="72">
        <v>0.75794579723435573</v>
      </c>
      <c r="N67" s="72">
        <v>0.77677884499068539</v>
      </c>
      <c r="O67" s="72">
        <v>0.7933022234422179</v>
      </c>
      <c r="P67" s="72">
        <v>0.77654296487398289</v>
      </c>
      <c r="Q67" s="72">
        <v>0.78386428077866999</v>
      </c>
      <c r="R67" s="72">
        <v>0.77271675765707415</v>
      </c>
      <c r="S67" s="72">
        <v>0.80319695695216253</v>
      </c>
      <c r="T67" s="72">
        <v>0.90154076171742392</v>
      </c>
      <c r="U67" s="72">
        <v>0.96869765255153406</v>
      </c>
      <c r="V67" s="72">
        <v>1.0428517072386216</v>
      </c>
      <c r="W67" s="72">
        <v>1.0646680748214341</v>
      </c>
      <c r="X67" s="72">
        <v>1.0681273999836596</v>
      </c>
      <c r="Y67" s="72">
        <v>1.1086561025127217</v>
      </c>
      <c r="Z67" s="72">
        <v>1.1041317633422898</v>
      </c>
      <c r="AA67" s="72">
        <v>1.1471881280367417</v>
      </c>
      <c r="AB67" s="72">
        <v>1.1165766498245526</v>
      </c>
    </row>
    <row r="68" spans="1:28" ht="13.5">
      <c r="A68" s="168"/>
      <c r="B68" s="12"/>
      <c r="C68" s="12" t="s">
        <v>30</v>
      </c>
      <c r="D68" s="12"/>
      <c r="E68" s="12"/>
      <c r="F68" s="72">
        <v>0.80346256897989599</v>
      </c>
      <c r="G68" s="72">
        <v>0.77360625559439966</v>
      </c>
      <c r="H68" s="72">
        <v>0.7504641143297488</v>
      </c>
      <c r="I68" s="72">
        <v>0.76565637609083237</v>
      </c>
      <c r="J68" s="72">
        <v>0.80620278647027166</v>
      </c>
      <c r="K68" s="72">
        <v>0.78761369019422078</v>
      </c>
      <c r="L68" s="72">
        <v>0.7661986833345662</v>
      </c>
      <c r="M68" s="72">
        <v>0.7568345323741007</v>
      </c>
      <c r="N68" s="72">
        <v>0.75601526310527545</v>
      </c>
      <c r="O68" s="72">
        <v>0.79249999999999998</v>
      </c>
      <c r="P68" s="72">
        <v>0.75263956502497309</v>
      </c>
      <c r="Q68" s="72">
        <v>0.77060789062260504</v>
      </c>
      <c r="R68" s="72">
        <v>0.77833450092900003</v>
      </c>
      <c r="S68" s="72">
        <v>0.77496082521697285</v>
      </c>
      <c r="T68" s="72">
        <v>0.80418168917849142</v>
      </c>
      <c r="U68" s="72">
        <v>0.96412141443202937</v>
      </c>
      <c r="V68" s="72">
        <v>0.98556273649547033</v>
      </c>
      <c r="W68" s="72">
        <v>1.0062566433817333</v>
      </c>
      <c r="X68" s="72">
        <v>0.98086983980536513</v>
      </c>
      <c r="Y68" s="72">
        <v>1.0135592798721105</v>
      </c>
      <c r="Z68" s="72">
        <v>1.0666468318297153</v>
      </c>
      <c r="AA68" s="72">
        <v>1.1344609546719089</v>
      </c>
      <c r="AB68" s="72">
        <v>1.0935999399265119</v>
      </c>
    </row>
    <row r="69" spans="1:28" ht="13.5">
      <c r="A69" s="168"/>
      <c r="B69" s="13"/>
      <c r="C69" s="13" t="s">
        <v>31</v>
      </c>
      <c r="D69" s="13"/>
      <c r="E69" s="13"/>
      <c r="F69" s="75">
        <v>1.9025270758122743</v>
      </c>
      <c r="G69" s="75">
        <v>1.6805111821086263</v>
      </c>
      <c r="H69" s="75">
        <v>1.6864111498257839</v>
      </c>
      <c r="I69" s="75">
        <v>1.7358490566037736</v>
      </c>
      <c r="J69" s="75">
        <v>1.6548042704626333</v>
      </c>
      <c r="K69" s="75">
        <v>1.6514084507042253</v>
      </c>
      <c r="L69" s="75">
        <v>1.67601246105919</v>
      </c>
      <c r="M69" s="75">
        <v>1.6793721973094171</v>
      </c>
      <c r="N69" s="75">
        <v>1.7186234817813766</v>
      </c>
      <c r="O69" s="75">
        <v>1.8470394736842106</v>
      </c>
      <c r="P69" s="75">
        <v>1.8282988871224166</v>
      </c>
      <c r="Q69" s="75">
        <v>1.9438990182328191</v>
      </c>
      <c r="R69" s="75">
        <v>1.4611186903137789</v>
      </c>
      <c r="S69" s="75">
        <v>1.4808743169398908</v>
      </c>
      <c r="T69" s="75">
        <v>2.0075414781297134</v>
      </c>
      <c r="U69" s="75">
        <v>2.0088888888888889</v>
      </c>
      <c r="V69" s="75">
        <v>2.1435726210350583</v>
      </c>
      <c r="W69" s="75">
        <v>2.0235640648011781</v>
      </c>
      <c r="X69" s="75">
        <v>1.9596899224806201</v>
      </c>
      <c r="Y69" s="75">
        <v>1.9344537815126051</v>
      </c>
      <c r="Z69" s="75">
        <v>1.715370018975332</v>
      </c>
      <c r="AA69" s="75">
        <v>1.7380952380952381</v>
      </c>
      <c r="AB69" s="75">
        <v>1.5610165975103734</v>
      </c>
    </row>
    <row r="70" spans="1:28" ht="13.5">
      <c r="A70" s="168"/>
      <c r="B70" s="171" t="s">
        <v>33</v>
      </c>
      <c r="C70" s="171"/>
      <c r="D70" s="171"/>
      <c r="E70" s="17" t="s">
        <v>180</v>
      </c>
      <c r="F70" s="17"/>
      <c r="G70" s="17"/>
      <c r="H70" s="17"/>
      <c r="I70" s="17"/>
      <c r="J70" s="17"/>
      <c r="K70" s="17"/>
      <c r="L70" s="17"/>
      <c r="M70" s="17"/>
      <c r="N70" s="17"/>
      <c r="O70" s="17"/>
      <c r="P70" s="17"/>
      <c r="Q70" s="3"/>
      <c r="R70" s="3"/>
      <c r="S70" s="3"/>
    </row>
    <row r="71" spans="1:28" ht="25.5" customHeight="1">
      <c r="A71" s="153"/>
      <c r="B71" s="140"/>
      <c r="C71" s="140"/>
      <c r="D71" s="140"/>
      <c r="E71" s="167" t="s">
        <v>200</v>
      </c>
      <c r="F71" s="167"/>
      <c r="G71" s="167"/>
      <c r="H71" s="167"/>
      <c r="I71" s="167"/>
      <c r="J71" s="167"/>
      <c r="K71" s="167"/>
      <c r="L71" s="167"/>
      <c r="M71" s="167"/>
      <c r="N71" s="167"/>
      <c r="O71" s="167"/>
      <c r="P71" s="167"/>
      <c r="Q71" s="167"/>
      <c r="R71" s="167"/>
      <c r="S71" s="167"/>
      <c r="T71" s="167"/>
      <c r="U71" s="167"/>
      <c r="V71" s="167"/>
      <c r="W71" s="167"/>
      <c r="X71" s="167"/>
      <c r="Y71" s="167"/>
      <c r="Z71" s="167"/>
      <c r="AA71" s="167"/>
      <c r="AB71" s="167"/>
    </row>
    <row r="72" spans="1:28">
      <c r="E72" s="110" t="s">
        <v>189</v>
      </c>
      <c r="F72" s="110"/>
      <c r="G72" s="110"/>
      <c r="H72" s="110"/>
      <c r="I72" s="110"/>
      <c r="J72" s="110"/>
      <c r="K72" s="110"/>
      <c r="L72" s="110"/>
      <c r="M72" s="110"/>
      <c r="N72" s="110"/>
      <c r="O72" s="110"/>
      <c r="P72" s="110"/>
      <c r="Q72" s="140"/>
      <c r="R72" s="140"/>
      <c r="S72" s="140"/>
      <c r="T72" s="110"/>
      <c r="U72" s="110"/>
      <c r="V72" s="110"/>
      <c r="W72" s="110"/>
      <c r="X72" s="110"/>
      <c r="Y72" s="110"/>
      <c r="Z72" s="110"/>
      <c r="AA72" s="110"/>
    </row>
    <row r="73" spans="1:28">
      <c r="E73" s="15" t="s">
        <v>175</v>
      </c>
      <c r="F73" s="110"/>
      <c r="G73" s="110"/>
      <c r="H73" s="110"/>
      <c r="I73" s="110"/>
      <c r="J73" s="110"/>
    </row>
  </sheetData>
  <mergeCells count="6">
    <mergeCell ref="E71:AB71"/>
    <mergeCell ref="A1:A36"/>
    <mergeCell ref="A37:A70"/>
    <mergeCell ref="B1:E1"/>
    <mergeCell ref="B5:E5"/>
    <mergeCell ref="B70:D70"/>
  </mergeCells>
  <hyperlinks>
    <hyperlink ref="E71:AB71" location="Leer!Druckbereich" display="Ab 2024 gelten für die Schularten des Sek-I-Bereichs neue Bezeichnungen bzw. Zusätze. Zudem kommt es bei den Hauptschulen, Schularten mit zwei Bildungsgängen und Schularten mit drei Bildungsgängen zu Neuzuordnungen." xr:uid="{F662E685-BCDC-4E8A-BE34-B971FD250871}"/>
  </hyperlinks>
  <printOptions verticalCentered="1"/>
  <pageMargins left="0.23622047244094491" right="0.23622047244094491" top="0.74803149606299213" bottom="0.74803149606299213" header="0.31496062992125984" footer="0.31496062992125984"/>
  <pageSetup paperSize="9" scale="94" orientation="landscape" r:id="rId1"/>
  <rowBreaks count="1" manualBreakCount="1">
    <brk id="36"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20"/>
  <dimension ref="A1:AB72"/>
  <sheetViews>
    <sheetView view="pageBreakPreview" topLeftCell="A62" zoomScale="140" zoomScaleNormal="130" zoomScaleSheetLayoutView="140" workbookViewId="0">
      <selection activeCell="J27" sqref="J27"/>
    </sheetView>
  </sheetViews>
  <sheetFormatPr baseColWidth="10" defaultColWidth="11.42578125" defaultRowHeight="12.75"/>
  <cols>
    <col min="1" max="1" width="2.7109375" style="3" customWidth="1"/>
    <col min="2" max="2" width="3.7109375" style="3" customWidth="1"/>
    <col min="3" max="4" width="2.7109375" style="3" customWidth="1"/>
    <col min="5" max="5" width="17.7109375" style="3" customWidth="1"/>
    <col min="6" max="22" width="6.7109375" style="3" customWidth="1"/>
    <col min="23" max="16384" width="11.42578125" style="3"/>
  </cols>
  <sheetData>
    <row r="1" spans="1:22">
      <c r="A1" s="168">
        <v>79</v>
      </c>
      <c r="B1" s="169" t="s">
        <v>0</v>
      </c>
      <c r="C1" s="169"/>
      <c r="D1" s="169"/>
      <c r="E1" s="169"/>
    </row>
    <row r="2" spans="1:22">
      <c r="A2" s="168"/>
      <c r="B2" s="4" t="s">
        <v>69</v>
      </c>
      <c r="C2" s="4"/>
      <c r="D2" s="4" t="s">
        <v>154</v>
      </c>
      <c r="E2" s="4"/>
    </row>
    <row r="3" spans="1:22">
      <c r="A3" s="168"/>
      <c r="B3" s="5" t="s">
        <v>71</v>
      </c>
      <c r="C3" s="4"/>
      <c r="D3" s="4" t="s">
        <v>186</v>
      </c>
      <c r="E3" s="4"/>
    </row>
    <row r="4" spans="1:22" ht="6" customHeight="1">
      <c r="A4" s="168"/>
    </row>
    <row r="5" spans="1:22" s="7" customFormat="1" ht="18.75" customHeight="1">
      <c r="A5" s="168"/>
      <c r="B5" s="170" t="s">
        <v>126</v>
      </c>
      <c r="C5" s="170"/>
      <c r="D5" s="170"/>
      <c r="E5" s="170"/>
      <c r="F5" s="18" t="s">
        <v>34</v>
      </c>
      <c r="G5" s="18" t="s">
        <v>35</v>
      </c>
      <c r="H5" s="18" t="s">
        <v>36</v>
      </c>
      <c r="I5" s="18" t="s">
        <v>37</v>
      </c>
      <c r="J5" s="18" t="s">
        <v>38</v>
      </c>
      <c r="K5" s="18" t="s">
        <v>39</v>
      </c>
      <c r="L5" s="18" t="s">
        <v>40</v>
      </c>
      <c r="M5" s="18" t="s">
        <v>41</v>
      </c>
      <c r="N5" s="18" t="s">
        <v>42</v>
      </c>
      <c r="O5" s="18" t="s">
        <v>43</v>
      </c>
      <c r="P5" s="18" t="s">
        <v>44</v>
      </c>
      <c r="Q5" s="18" t="s">
        <v>45</v>
      </c>
      <c r="R5" s="18" t="s">
        <v>46</v>
      </c>
      <c r="S5" s="18" t="s">
        <v>47</v>
      </c>
      <c r="T5" s="18" t="s">
        <v>48</v>
      </c>
      <c r="U5" s="18" t="s">
        <v>49</v>
      </c>
      <c r="V5" s="18" t="s">
        <v>50</v>
      </c>
    </row>
    <row r="6" spans="1:22">
      <c r="A6" s="168"/>
      <c r="B6" s="9" t="s">
        <v>120</v>
      </c>
      <c r="C6" s="9"/>
      <c r="D6" s="9"/>
      <c r="E6" s="16"/>
      <c r="F6" s="37">
        <v>1.676430102464348</v>
      </c>
      <c r="G6" s="37">
        <v>1.4946948212597657</v>
      </c>
      <c r="H6" s="37">
        <v>1.7059290023192273</v>
      </c>
      <c r="I6" s="37">
        <v>1.6090176841160744</v>
      </c>
      <c r="J6" s="37">
        <v>1.677561684779846</v>
      </c>
      <c r="K6" s="37">
        <v>1.6928701942518234</v>
      </c>
      <c r="L6" s="37">
        <v>1.6809310784709326</v>
      </c>
      <c r="M6" s="37">
        <v>1.5680946408721355</v>
      </c>
      <c r="N6" s="37">
        <v>1.5764349155934663</v>
      </c>
      <c r="O6" s="37">
        <v>1.5778431908513164</v>
      </c>
      <c r="P6" s="37">
        <v>1.6653233209708809</v>
      </c>
      <c r="Q6" s="37">
        <v>1.7339440694310511</v>
      </c>
      <c r="R6" s="37">
        <v>1.5077551191005429</v>
      </c>
      <c r="S6" s="37">
        <v>1.4782772583490715</v>
      </c>
      <c r="T6" s="37">
        <v>1.5502765766416577</v>
      </c>
      <c r="U6" s="37">
        <v>1.4540971696217402</v>
      </c>
      <c r="V6" s="37">
        <v>1.5931474649256594</v>
      </c>
    </row>
    <row r="7" spans="1:22">
      <c r="A7" s="168"/>
      <c r="B7" s="10" t="s">
        <v>119</v>
      </c>
      <c r="C7" s="10"/>
      <c r="D7" s="10"/>
      <c r="E7" s="9"/>
      <c r="F7" s="38">
        <v>1.8033044119139392</v>
      </c>
      <c r="G7" s="38">
        <v>1.6181358342630772</v>
      </c>
      <c r="H7" s="38">
        <v>1.7963770951301681</v>
      </c>
      <c r="I7" s="38">
        <v>1.706913929295981</v>
      </c>
      <c r="J7" s="38">
        <v>1.8491177336867755</v>
      </c>
      <c r="K7" s="38">
        <v>1.8604219905470498</v>
      </c>
      <c r="L7" s="38">
        <v>1.8241089676701649</v>
      </c>
      <c r="M7" s="38">
        <v>1.6916967904480227</v>
      </c>
      <c r="N7" s="38">
        <v>1.7222496299950667</v>
      </c>
      <c r="O7" s="38">
        <v>1.718667723382723</v>
      </c>
      <c r="P7" s="38">
        <v>1.8345808503277452</v>
      </c>
      <c r="Q7" s="38">
        <v>1.8806434338441258</v>
      </c>
      <c r="R7" s="38">
        <v>1.5881626149677517</v>
      </c>
      <c r="S7" s="38">
        <v>1.5862343974894411</v>
      </c>
      <c r="T7" s="38">
        <v>1.6675163019000934</v>
      </c>
      <c r="U7" s="38">
        <v>1.5185102236284709</v>
      </c>
      <c r="V7" s="38">
        <v>1.7222122553092769</v>
      </c>
    </row>
    <row r="8" spans="1:22">
      <c r="A8" s="168"/>
      <c r="B8" s="11" t="s">
        <v>3</v>
      </c>
      <c r="C8" s="11"/>
      <c r="D8" s="11"/>
      <c r="E8" s="11"/>
      <c r="F8" s="37">
        <v>5.2907095256762053</v>
      </c>
      <c r="G8" s="37">
        <v>3.3277089778104774</v>
      </c>
      <c r="H8" s="37">
        <v>4.0594882020604848</v>
      </c>
      <c r="I8" s="37">
        <v>4.5599897298962722</v>
      </c>
      <c r="J8" s="37">
        <v>6.556451612903226</v>
      </c>
      <c r="K8" s="37">
        <v>4.5051187105205841</v>
      </c>
      <c r="L8" s="37">
        <v>6.084250675936655</v>
      </c>
      <c r="M8" s="37">
        <v>3.2724827056110684</v>
      </c>
      <c r="N8" s="37">
        <v>4.0756610385473078</v>
      </c>
      <c r="O8" s="37">
        <v>4.1135525010311804</v>
      </c>
      <c r="P8" s="37">
        <v>5.818463658284533</v>
      </c>
      <c r="Q8" s="37">
        <v>4.9205535622757557</v>
      </c>
      <c r="R8" s="37">
        <v>3.4159999999999999</v>
      </c>
      <c r="S8" s="37">
        <v>3.3251411755348763</v>
      </c>
      <c r="T8" s="37">
        <v>4.7584719654959953</v>
      </c>
      <c r="U8" s="37">
        <v>3.0399942865304959</v>
      </c>
      <c r="V8" s="37">
        <v>4.298373737949917</v>
      </c>
    </row>
    <row r="9" spans="1:22">
      <c r="A9" s="168"/>
      <c r="B9" s="12"/>
      <c r="C9" s="12" t="s">
        <v>4</v>
      </c>
      <c r="D9" s="12"/>
      <c r="E9" s="12"/>
      <c r="F9" s="39">
        <v>3.1525554664528204</v>
      </c>
      <c r="G9" s="39">
        <v>2.9114998861134307</v>
      </c>
      <c r="H9" s="39">
        <v>4.7004716981132075</v>
      </c>
      <c r="I9" s="39">
        <v>2.9046183640920487</v>
      </c>
      <c r="J9" s="39">
        <v>5.4553571428571432</v>
      </c>
      <c r="K9" s="39">
        <v>4.5051187105205841</v>
      </c>
      <c r="L9" s="39">
        <v>6.6527326440177257</v>
      </c>
      <c r="M9" s="39">
        <v>2.6286372803226734</v>
      </c>
      <c r="N9" s="39">
        <v>2.9212372448979593</v>
      </c>
      <c r="O9" s="39">
        <v>3.9054125622285776</v>
      </c>
      <c r="P9" s="39">
        <v>3.0719785347643489</v>
      </c>
      <c r="Q9" s="39">
        <v>2.945159106296547</v>
      </c>
      <c r="R9" s="39">
        <v>2.8638077698851179</v>
      </c>
      <c r="S9" s="39">
        <v>2.1553321506012222</v>
      </c>
      <c r="T9" s="39">
        <v>3.9840989399293285</v>
      </c>
      <c r="U9" s="39">
        <v>0</v>
      </c>
      <c r="V9" s="39">
        <v>3.2747341543558783</v>
      </c>
    </row>
    <row r="10" spans="1:22">
      <c r="A10" s="168"/>
      <c r="B10" s="13"/>
      <c r="C10" s="13" t="s">
        <v>5</v>
      </c>
      <c r="D10" s="13"/>
      <c r="E10" s="13"/>
      <c r="F10" s="40">
        <v>6.3595865515674692</v>
      </c>
      <c r="G10" s="40">
        <v>3.6553674426944802</v>
      </c>
      <c r="H10" s="40">
        <v>4.0278972451470416</v>
      </c>
      <c r="I10" s="40">
        <v>5.9185209424083771</v>
      </c>
      <c r="J10" s="40">
        <v>6.877604166666667</v>
      </c>
      <c r="K10" s="40">
        <v>4.5051187105205832</v>
      </c>
      <c r="L10" s="40">
        <v>5.8082054224644954</v>
      </c>
      <c r="M10" s="40">
        <v>3.7880046136101497</v>
      </c>
      <c r="N10" s="40">
        <v>4.2403986166727341</v>
      </c>
      <c r="O10" s="40">
        <v>4.1690459044633652</v>
      </c>
      <c r="P10" s="40">
        <v>8.4798779109201892</v>
      </c>
      <c r="Q10" s="40">
        <v>6.1237113402061851</v>
      </c>
      <c r="R10" s="40">
        <v>4.1379270809447375</v>
      </c>
      <c r="S10" s="40">
        <v>4.1163999999999996</v>
      </c>
      <c r="T10" s="40">
        <v>4.9220149253731345</v>
      </c>
      <c r="U10" s="40">
        <v>0</v>
      </c>
      <c r="V10" s="40">
        <v>4.6973934784741234</v>
      </c>
    </row>
    <row r="11" spans="1:22" hidden="1">
      <c r="A11" s="168"/>
      <c r="B11" s="13"/>
      <c r="C11" s="13"/>
      <c r="D11" s="13"/>
      <c r="E11" s="13"/>
      <c r="F11" s="40"/>
      <c r="G11" s="40"/>
      <c r="H11" s="40"/>
      <c r="I11" s="40"/>
      <c r="J11" s="40"/>
      <c r="K11" s="40"/>
      <c r="L11" s="40"/>
      <c r="M11" s="40"/>
      <c r="N11" s="40"/>
      <c r="O11" s="40"/>
      <c r="P11" s="40"/>
      <c r="Q11" s="40"/>
      <c r="R11" s="40"/>
      <c r="S11" s="40"/>
      <c r="T11" s="40"/>
      <c r="U11" s="40"/>
      <c r="V11" s="40"/>
    </row>
    <row r="12" spans="1:22">
      <c r="A12" s="168"/>
      <c r="B12" s="11" t="s">
        <v>6</v>
      </c>
      <c r="C12" s="11"/>
      <c r="D12" s="11"/>
      <c r="E12" s="11"/>
      <c r="F12" s="37">
        <v>5.045776918117344</v>
      </c>
      <c r="G12" s="37">
        <v>0</v>
      </c>
      <c r="H12" s="37">
        <v>0</v>
      </c>
      <c r="I12" s="37">
        <v>0</v>
      </c>
      <c r="J12" s="37">
        <v>1.8235294117647058</v>
      </c>
      <c r="K12" s="37">
        <v>1.5663891127227147</v>
      </c>
      <c r="L12" s="37">
        <v>1.8056619838229033</v>
      </c>
      <c r="M12" s="37">
        <v>0</v>
      </c>
      <c r="N12" s="37">
        <v>1.7349443805140008</v>
      </c>
      <c r="O12" s="37">
        <v>2.0576395242451966</v>
      </c>
      <c r="P12" s="37">
        <v>1.2121212121212122</v>
      </c>
      <c r="Q12" s="37">
        <v>1.5833333333333333</v>
      </c>
      <c r="R12" s="37">
        <v>0</v>
      </c>
      <c r="S12" s="37">
        <v>0</v>
      </c>
      <c r="T12" s="37">
        <v>0</v>
      </c>
      <c r="U12" s="37">
        <v>0</v>
      </c>
      <c r="V12" s="37">
        <v>2.6017705308093357</v>
      </c>
    </row>
    <row r="13" spans="1:22">
      <c r="A13" s="168"/>
      <c r="B13" s="12"/>
      <c r="C13" s="12" t="s">
        <v>7</v>
      </c>
      <c r="D13" s="12"/>
      <c r="E13" s="12"/>
      <c r="F13" s="39">
        <v>0</v>
      </c>
      <c r="G13" s="39">
        <v>0</v>
      </c>
      <c r="H13" s="39">
        <v>0</v>
      </c>
      <c r="I13" s="39">
        <v>0</v>
      </c>
      <c r="J13" s="39">
        <v>1.8235294117647058</v>
      </c>
      <c r="K13" s="39">
        <v>1.5663891127227147</v>
      </c>
      <c r="L13" s="39">
        <v>0</v>
      </c>
      <c r="M13" s="39">
        <v>0</v>
      </c>
      <c r="N13" s="39">
        <v>0</v>
      </c>
      <c r="O13" s="39">
        <v>0</v>
      </c>
      <c r="P13" s="39">
        <v>0</v>
      </c>
      <c r="Q13" s="39">
        <v>0</v>
      </c>
      <c r="R13" s="39">
        <v>0</v>
      </c>
      <c r="S13" s="39">
        <v>0</v>
      </c>
      <c r="T13" s="39">
        <v>0</v>
      </c>
      <c r="U13" s="39">
        <v>0</v>
      </c>
      <c r="V13" s="39">
        <v>1.5667799034507419</v>
      </c>
    </row>
    <row r="14" spans="1:22">
      <c r="A14" s="168"/>
      <c r="B14" s="13"/>
      <c r="C14" s="13" t="s">
        <v>8</v>
      </c>
      <c r="D14" s="13"/>
      <c r="E14" s="13"/>
      <c r="F14" s="40">
        <v>5.045776918117344</v>
      </c>
      <c r="G14" s="40">
        <v>0</v>
      </c>
      <c r="H14" s="40">
        <v>0</v>
      </c>
      <c r="I14" s="40">
        <v>0</v>
      </c>
      <c r="J14" s="40">
        <v>0</v>
      </c>
      <c r="K14" s="40">
        <v>0</v>
      </c>
      <c r="L14" s="40">
        <v>1.8056619838229033</v>
      </c>
      <c r="M14" s="40">
        <v>0</v>
      </c>
      <c r="N14" s="40">
        <v>1.7349443805140008</v>
      </c>
      <c r="O14" s="40">
        <v>2.0576395242451966</v>
      </c>
      <c r="P14" s="40">
        <v>1.2121212121212122</v>
      </c>
      <c r="Q14" s="40">
        <v>1.5833333333333333</v>
      </c>
      <c r="R14" s="40">
        <v>0</v>
      </c>
      <c r="S14" s="40">
        <v>0</v>
      </c>
      <c r="T14" s="40">
        <v>0</v>
      </c>
      <c r="U14" s="40">
        <v>0</v>
      </c>
      <c r="V14" s="39">
        <v>3.2674064278732824</v>
      </c>
    </row>
    <row r="15" spans="1:22">
      <c r="A15" s="168"/>
      <c r="B15" s="11" t="s">
        <v>123</v>
      </c>
      <c r="C15" s="11"/>
      <c r="D15" s="11"/>
      <c r="E15" s="11"/>
      <c r="F15" s="37">
        <v>1.4123330224667499</v>
      </c>
      <c r="G15" s="37">
        <v>1.3556373219706046</v>
      </c>
      <c r="H15" s="37">
        <v>1.6756447145870255</v>
      </c>
      <c r="I15" s="37">
        <v>1.4142856296120676</v>
      </c>
      <c r="J15" s="37">
        <v>1.6118286879673691</v>
      </c>
      <c r="K15" s="37">
        <v>1.8752046474782149</v>
      </c>
      <c r="L15" s="37">
        <v>1.7550495690748276</v>
      </c>
      <c r="M15" s="37">
        <v>1.470320317824432</v>
      </c>
      <c r="N15" s="37">
        <v>1.5310070685041683</v>
      </c>
      <c r="O15" s="37">
        <v>1.5346297888183795</v>
      </c>
      <c r="P15" s="37">
        <v>1.6372594881390568</v>
      </c>
      <c r="Q15" s="37">
        <v>1.758461453379051</v>
      </c>
      <c r="R15" s="37">
        <v>1.4417841220079404</v>
      </c>
      <c r="S15" s="37">
        <v>1.3576888148932951</v>
      </c>
      <c r="T15" s="37">
        <v>1.5123679442032205</v>
      </c>
      <c r="U15" s="37">
        <v>1.3526562698110816</v>
      </c>
      <c r="V15" s="41">
        <v>1.5117649789716743</v>
      </c>
    </row>
    <row r="16" spans="1:22">
      <c r="A16" s="168"/>
      <c r="B16" s="12"/>
      <c r="C16" s="12" t="s">
        <v>9</v>
      </c>
      <c r="D16" s="12"/>
      <c r="E16" s="12"/>
      <c r="F16" s="39">
        <v>1.4093828118147531</v>
      </c>
      <c r="G16" s="39">
        <v>1.3563976117070995</v>
      </c>
      <c r="H16" s="39">
        <v>1.649801469716724</v>
      </c>
      <c r="I16" s="39">
        <v>1.4134146341463414</v>
      </c>
      <c r="J16" s="39">
        <v>1.6175991309071156</v>
      </c>
      <c r="K16" s="39">
        <v>1.8824391084558822</v>
      </c>
      <c r="L16" s="39">
        <v>1.7497113050582496</v>
      </c>
      <c r="M16" s="39">
        <v>1.4735986048929357</v>
      </c>
      <c r="N16" s="39">
        <v>1.5278146275530637</v>
      </c>
      <c r="O16" s="39">
        <v>1.5383475750401823</v>
      </c>
      <c r="P16" s="39">
        <v>1.6392857806432433</v>
      </c>
      <c r="Q16" s="39">
        <v>1.7620192980002798</v>
      </c>
      <c r="R16" s="39">
        <v>1.4440374123148869</v>
      </c>
      <c r="S16" s="39">
        <v>1.3576105992537881</v>
      </c>
      <c r="T16" s="39">
        <v>1.5077955055595518</v>
      </c>
      <c r="U16" s="39">
        <v>1.3375389318260469</v>
      </c>
      <c r="V16" s="39">
        <v>1.5115663846917891</v>
      </c>
    </row>
    <row r="17" spans="1:22">
      <c r="A17" s="168"/>
      <c r="B17" s="12"/>
      <c r="C17" s="12" t="s">
        <v>187</v>
      </c>
      <c r="D17" s="12"/>
      <c r="E17" s="12"/>
      <c r="F17" s="39">
        <v>1.4081893770395089</v>
      </c>
      <c r="G17" s="39">
        <v>0</v>
      </c>
      <c r="H17" s="39">
        <v>2.0437500000000002</v>
      </c>
      <c r="I17" s="39">
        <v>1.4566993464052287</v>
      </c>
      <c r="J17" s="39">
        <v>0</v>
      </c>
      <c r="K17" s="39">
        <v>1.8405883522162592</v>
      </c>
      <c r="L17" s="39">
        <v>0</v>
      </c>
      <c r="M17" s="39">
        <v>0</v>
      </c>
      <c r="N17" s="39">
        <v>2.1448675496688741</v>
      </c>
      <c r="O17" s="39">
        <v>1.7458333333333333</v>
      </c>
      <c r="P17" s="39">
        <v>0</v>
      </c>
      <c r="Q17" s="39">
        <v>0</v>
      </c>
      <c r="R17" s="39">
        <v>1.1002132196162047</v>
      </c>
      <c r="S17" s="39">
        <v>0</v>
      </c>
      <c r="T17" s="39">
        <v>0</v>
      </c>
      <c r="U17" s="39">
        <v>1.4774754683318465</v>
      </c>
      <c r="V17" s="39">
        <v>1.5442282286571214</v>
      </c>
    </row>
    <row r="18" spans="1:22">
      <c r="A18" s="168"/>
      <c r="B18" s="13"/>
      <c r="C18" s="13" t="s">
        <v>11</v>
      </c>
      <c r="D18" s="13"/>
      <c r="E18" s="13"/>
      <c r="F18" s="40">
        <v>1.5815030555194383</v>
      </c>
      <c r="G18" s="40">
        <v>1.2386848559166157</v>
      </c>
      <c r="H18" s="40">
        <v>1.2061378112333527</v>
      </c>
      <c r="I18" s="40">
        <v>1.4700805152979066</v>
      </c>
      <c r="J18" s="40">
        <v>1.1347305389221556</v>
      </c>
      <c r="K18" s="40">
        <v>1.5691736304549675</v>
      </c>
      <c r="L18" s="40">
        <v>2.5475218658892129</v>
      </c>
      <c r="M18" s="40">
        <v>1.0957854406130267</v>
      </c>
      <c r="N18" s="40">
        <v>1.6452273658336747</v>
      </c>
      <c r="O18" s="40">
        <v>1.0250995326293924</v>
      </c>
      <c r="P18" s="40">
        <v>1.3110667996011964</v>
      </c>
      <c r="Q18" s="40">
        <v>1.4474327628361858</v>
      </c>
      <c r="R18" s="40">
        <v>1.2903487429034874</v>
      </c>
      <c r="S18" s="40">
        <v>1.3703703703703705</v>
      </c>
      <c r="T18" s="40">
        <v>1.8402734617775016</v>
      </c>
      <c r="U18" s="40">
        <v>1.2236363636363636</v>
      </c>
      <c r="V18" s="40">
        <v>1.4428817677381225</v>
      </c>
    </row>
    <row r="19" spans="1:22">
      <c r="A19" s="168"/>
      <c r="B19" s="11" t="s">
        <v>124</v>
      </c>
      <c r="C19" s="11"/>
      <c r="D19" s="11"/>
      <c r="E19" s="11"/>
      <c r="F19" s="37">
        <v>1.64955117127244</v>
      </c>
      <c r="G19" s="37">
        <v>1.6291829497143497</v>
      </c>
      <c r="H19" s="37">
        <v>1.7862682363660838</v>
      </c>
      <c r="I19" s="37">
        <v>1.7100255643917088</v>
      </c>
      <c r="J19" s="37">
        <v>1.9845519249433841</v>
      </c>
      <c r="K19" s="37">
        <v>1.8500445125359724</v>
      </c>
      <c r="L19" s="37">
        <v>1.6044346140980241</v>
      </c>
      <c r="M19" s="37">
        <v>1.6344303988718776</v>
      </c>
      <c r="N19" s="37">
        <v>1.7345284365828508</v>
      </c>
      <c r="O19" s="37">
        <v>1.595236383964223</v>
      </c>
      <c r="P19" s="37">
        <v>1.6090562219563973</v>
      </c>
      <c r="Q19" s="37">
        <v>1.7120768726796243</v>
      </c>
      <c r="R19" s="37">
        <v>1.459878945934374</v>
      </c>
      <c r="S19" s="37">
        <v>1.4951953812713306</v>
      </c>
      <c r="T19" s="37">
        <v>1.6335952281691948</v>
      </c>
      <c r="U19" s="37">
        <v>1.4780586624058434</v>
      </c>
      <c r="V19" s="37">
        <v>1.6354152643664233</v>
      </c>
    </row>
    <row r="20" spans="1:22">
      <c r="A20" s="168"/>
      <c r="B20" s="12"/>
      <c r="C20" s="12" t="s">
        <v>12</v>
      </c>
      <c r="D20" s="12"/>
      <c r="E20" s="12"/>
      <c r="F20" s="39">
        <v>0</v>
      </c>
      <c r="G20" s="39">
        <v>1.7328646748681897</v>
      </c>
      <c r="H20" s="39">
        <v>1.5754582754284958</v>
      </c>
      <c r="I20" s="39">
        <v>1.7158957219251336</v>
      </c>
      <c r="J20" s="39">
        <v>0</v>
      </c>
      <c r="K20" s="39">
        <v>2.8637413394919169</v>
      </c>
      <c r="L20" s="39">
        <v>1.8276201007494779</v>
      </c>
      <c r="M20" s="39">
        <v>0</v>
      </c>
      <c r="N20" s="39">
        <v>0</v>
      </c>
      <c r="O20" s="39">
        <v>0</v>
      </c>
      <c r="P20" s="39">
        <v>0</v>
      </c>
      <c r="Q20" s="39">
        <v>0</v>
      </c>
      <c r="R20" s="39">
        <v>0</v>
      </c>
      <c r="S20" s="39">
        <v>0</v>
      </c>
      <c r="T20" s="39">
        <v>0</v>
      </c>
      <c r="U20" s="39">
        <v>0</v>
      </c>
      <c r="V20" s="39">
        <v>1.6656259175883332</v>
      </c>
    </row>
    <row r="21" spans="1:22">
      <c r="A21" s="168"/>
      <c r="B21" s="12"/>
      <c r="C21" s="12" t="s">
        <v>13</v>
      </c>
      <c r="D21" s="12"/>
      <c r="E21" s="12"/>
      <c r="F21" s="39">
        <v>1.9311172278313311</v>
      </c>
      <c r="G21" s="39">
        <v>0</v>
      </c>
      <c r="H21" s="39">
        <v>0</v>
      </c>
      <c r="I21" s="39">
        <v>0</v>
      </c>
      <c r="J21" s="39">
        <v>0</v>
      </c>
      <c r="K21" s="39">
        <v>0</v>
      </c>
      <c r="L21" s="39">
        <v>2.0539215686274508</v>
      </c>
      <c r="M21" s="39">
        <v>0</v>
      </c>
      <c r="N21" s="39">
        <v>2.9004987915873914</v>
      </c>
      <c r="O21" s="39">
        <v>2.5448489223471178</v>
      </c>
      <c r="P21" s="39">
        <v>5.5546218487394956</v>
      </c>
      <c r="Q21" s="39">
        <v>0</v>
      </c>
      <c r="R21" s="39">
        <v>0</v>
      </c>
      <c r="S21" s="39">
        <v>0</v>
      </c>
      <c r="T21" s="39">
        <v>0</v>
      </c>
      <c r="U21" s="39">
        <v>0</v>
      </c>
      <c r="V21" s="39">
        <v>2.315286301217752</v>
      </c>
    </row>
    <row r="22" spans="1:22">
      <c r="A22" s="168"/>
      <c r="B22" s="12"/>
      <c r="C22" s="12" t="s">
        <v>188</v>
      </c>
      <c r="D22" s="12"/>
      <c r="E22" s="12"/>
      <c r="F22" s="39">
        <v>0</v>
      </c>
      <c r="G22" s="39">
        <v>1.9317699085154016</v>
      </c>
      <c r="H22" s="39">
        <v>0</v>
      </c>
      <c r="I22" s="39">
        <v>1.9090865939016866</v>
      </c>
      <c r="J22" s="39">
        <v>0</v>
      </c>
      <c r="K22" s="39">
        <v>0</v>
      </c>
      <c r="L22" s="39">
        <v>1.8868368427243853</v>
      </c>
      <c r="M22" s="39">
        <v>1.6181249271193687</v>
      </c>
      <c r="N22" s="39">
        <v>2.0520654283337953</v>
      </c>
      <c r="O22" s="39">
        <v>0</v>
      </c>
      <c r="P22" s="39">
        <v>1.7958369010721307</v>
      </c>
      <c r="Q22" s="39">
        <v>3.5652173913043477</v>
      </c>
      <c r="R22" s="39">
        <v>1.4473015338480906</v>
      </c>
      <c r="S22" s="39">
        <v>1.4851275611060721</v>
      </c>
      <c r="T22" s="39">
        <v>0</v>
      </c>
      <c r="U22" s="39">
        <v>1.4687218391768133</v>
      </c>
      <c r="V22" s="39">
        <v>1.7668595785133496</v>
      </c>
    </row>
    <row r="23" spans="1:22">
      <c r="A23" s="168"/>
      <c r="B23" s="12"/>
      <c r="C23" s="12" t="s">
        <v>15</v>
      </c>
      <c r="D23" s="12"/>
      <c r="E23" s="12"/>
      <c r="F23" s="39">
        <v>1.5617678246344988</v>
      </c>
      <c r="G23" s="39">
        <v>1.5034329503229373</v>
      </c>
      <c r="H23" s="39">
        <v>0</v>
      </c>
      <c r="I23" s="39">
        <v>0</v>
      </c>
      <c r="J23" s="39">
        <v>0</v>
      </c>
      <c r="K23" s="39">
        <v>0</v>
      </c>
      <c r="L23" s="39">
        <v>1.5527974488344587</v>
      </c>
      <c r="M23" s="39">
        <v>0</v>
      </c>
      <c r="N23" s="39">
        <v>1.5368429947608586</v>
      </c>
      <c r="O23" s="39">
        <v>1.5605981664245279</v>
      </c>
      <c r="P23" s="39">
        <v>1.3588837866478276</v>
      </c>
      <c r="Q23" s="39">
        <v>1.4096267190569745</v>
      </c>
      <c r="R23" s="39">
        <v>0</v>
      </c>
      <c r="S23" s="39">
        <v>0</v>
      </c>
      <c r="T23" s="39">
        <v>0</v>
      </c>
      <c r="U23" s="39">
        <v>0</v>
      </c>
      <c r="V23" s="39">
        <v>1.5403112075176477</v>
      </c>
    </row>
    <row r="24" spans="1:22">
      <c r="A24" s="168"/>
      <c r="B24" s="12"/>
      <c r="C24" s="12" t="s">
        <v>16</v>
      </c>
      <c r="D24" s="12"/>
      <c r="E24" s="12"/>
      <c r="F24" s="39">
        <v>1.4657915477845247</v>
      </c>
      <c r="G24" s="39"/>
      <c r="H24" s="39">
        <v>1.6341866398962648</v>
      </c>
      <c r="I24" s="39">
        <v>1.362218193283935</v>
      </c>
      <c r="J24" s="39">
        <v>1.4029473684210527</v>
      </c>
      <c r="K24" s="39">
        <v>1.4927222659323367</v>
      </c>
      <c r="L24" s="39">
        <v>1.4321027329428817</v>
      </c>
      <c r="M24" s="39">
        <v>1.6279536924459481</v>
      </c>
      <c r="N24" s="39">
        <v>1.4138811500292217</v>
      </c>
      <c r="O24" s="39">
        <v>1.3085451344924492</v>
      </c>
      <c r="P24" s="39">
        <v>1.3836256108142668</v>
      </c>
      <c r="Q24" s="39">
        <v>1.3334342455800436</v>
      </c>
      <c r="R24" s="39">
        <v>1.4744391464081921</v>
      </c>
      <c r="S24" s="39">
        <v>1.4415906745865752</v>
      </c>
      <c r="T24" s="39">
        <v>1.285688639368074</v>
      </c>
      <c r="U24" s="39">
        <v>1.3768693918245265</v>
      </c>
      <c r="V24" s="39">
        <v>1.4141053807461783</v>
      </c>
    </row>
    <row r="25" spans="1:22">
      <c r="A25" s="168"/>
      <c r="B25" s="12"/>
      <c r="C25" s="12" t="s">
        <v>187</v>
      </c>
      <c r="D25" s="12"/>
      <c r="E25" s="12"/>
      <c r="F25" s="39">
        <v>2.0620954137842684</v>
      </c>
      <c r="G25" s="39">
        <v>1.7883085106382977</v>
      </c>
      <c r="H25" s="39">
        <v>2.0282769102542102</v>
      </c>
      <c r="I25" s="39">
        <v>1.9119812080536913</v>
      </c>
      <c r="J25" s="39">
        <v>2.1374613003095977</v>
      </c>
      <c r="K25" s="39">
        <v>2.12023988005997</v>
      </c>
      <c r="L25" s="39">
        <v>1.7707250960018071</v>
      </c>
      <c r="M25" s="39">
        <v>1.7511290705966247</v>
      </c>
      <c r="N25" s="39">
        <v>1.8721404955358936</v>
      </c>
      <c r="O25" s="39">
        <v>1.8044175153624684</v>
      </c>
      <c r="P25" s="39">
        <v>1.7190503416918512</v>
      </c>
      <c r="Q25" s="39">
        <v>1.9379985496736767</v>
      </c>
      <c r="R25" s="39">
        <v>1.3805537669027688</v>
      </c>
      <c r="S25" s="39">
        <v>1.5926178462657394</v>
      </c>
      <c r="T25" s="39">
        <v>1.8593103597652105</v>
      </c>
      <c r="U25" s="39">
        <v>1.6354817275747509</v>
      </c>
      <c r="V25" s="39">
        <v>1.8754383739034479</v>
      </c>
    </row>
    <row r="26" spans="1:22">
      <c r="A26" s="168"/>
      <c r="B26" s="12"/>
      <c r="C26" s="12" t="s">
        <v>11</v>
      </c>
      <c r="D26" s="12"/>
      <c r="E26" s="12"/>
      <c r="F26" s="39">
        <v>2.0053314411279985</v>
      </c>
      <c r="G26" s="39">
        <v>1.7784101332168596</v>
      </c>
      <c r="H26" s="39">
        <v>2.0523473203157456</v>
      </c>
      <c r="I26" s="39">
        <v>1.9483958602846057</v>
      </c>
      <c r="J26" s="39">
        <v>1.5611650485436894</v>
      </c>
      <c r="K26" s="39">
        <v>1.7408805031446541</v>
      </c>
      <c r="L26" s="39">
        <v>1.9603541185527329</v>
      </c>
      <c r="M26" s="39">
        <v>1.6025039123630673</v>
      </c>
      <c r="N26" s="39">
        <v>1.9913594470046083</v>
      </c>
      <c r="O26" s="39">
        <v>2.079088785046729</v>
      </c>
      <c r="P26" s="39">
        <v>1.9558935361216729</v>
      </c>
      <c r="Q26" s="39">
        <v>2.1452991452991452</v>
      </c>
      <c r="R26" s="39">
        <v>2.0394962793360047</v>
      </c>
      <c r="S26" s="39">
        <v>1.8538251366120218</v>
      </c>
      <c r="T26" s="39">
        <v>1.83984375</v>
      </c>
      <c r="U26" s="39">
        <v>1.9346666666666668</v>
      </c>
      <c r="V26" s="39">
        <v>1.9621201250919793</v>
      </c>
    </row>
    <row r="27" spans="1:22">
      <c r="A27" s="168"/>
      <c r="B27" s="12"/>
      <c r="C27" s="12" t="s">
        <v>17</v>
      </c>
      <c r="D27" s="12"/>
      <c r="E27" s="12"/>
      <c r="F27" s="39">
        <v>0</v>
      </c>
      <c r="G27" s="39">
        <v>0</v>
      </c>
      <c r="H27" s="39">
        <v>1.3595166163141994</v>
      </c>
      <c r="I27" s="39">
        <v>0</v>
      </c>
      <c r="J27" s="39">
        <v>1.8235294117647058</v>
      </c>
      <c r="K27" s="39">
        <v>0</v>
      </c>
      <c r="L27" s="39">
        <v>1.5173501577287065</v>
      </c>
      <c r="M27" s="39">
        <v>0</v>
      </c>
      <c r="N27" s="39">
        <v>0</v>
      </c>
      <c r="O27" s="39">
        <v>0</v>
      </c>
      <c r="P27" s="39">
        <v>0</v>
      </c>
      <c r="Q27" s="39">
        <v>0</v>
      </c>
      <c r="R27" s="39">
        <v>0</v>
      </c>
      <c r="S27" s="39">
        <v>0</v>
      </c>
      <c r="T27" s="39">
        <v>0</v>
      </c>
      <c r="U27" s="39">
        <v>0</v>
      </c>
      <c r="V27" s="39">
        <v>1.4967405475880051</v>
      </c>
    </row>
    <row r="28" spans="1:22">
      <c r="A28" s="168"/>
      <c r="B28" s="13"/>
      <c r="C28" s="13" t="s">
        <v>18</v>
      </c>
      <c r="D28" s="13"/>
      <c r="E28" s="13"/>
      <c r="F28" s="40">
        <v>1.5339622641509436</v>
      </c>
      <c r="G28" s="40">
        <v>1.1428571428571428</v>
      </c>
      <c r="H28" s="40">
        <v>1.3871527777777777</v>
      </c>
      <c r="I28" s="40">
        <v>1.0337457817772779</v>
      </c>
      <c r="J28" s="40">
        <v>1.7414448669201521</v>
      </c>
      <c r="K28" s="40">
        <v>1.5758683729433272</v>
      </c>
      <c r="L28" s="40">
        <v>1.4703161141094834</v>
      </c>
      <c r="M28" s="40">
        <v>0</v>
      </c>
      <c r="N28" s="40">
        <v>0</v>
      </c>
      <c r="O28" s="40">
        <v>0.94081414033208355</v>
      </c>
      <c r="P28" s="40">
        <v>0</v>
      </c>
      <c r="Q28" s="40">
        <v>1.5333333333333334</v>
      </c>
      <c r="R28" s="40">
        <v>0.87616511318242341</v>
      </c>
      <c r="S28" s="40">
        <v>0.8928571428571429</v>
      </c>
      <c r="T28" s="40">
        <v>0</v>
      </c>
      <c r="U28" s="40">
        <v>0</v>
      </c>
      <c r="V28" s="39">
        <v>1.0979008520526723</v>
      </c>
    </row>
    <row r="29" spans="1:22">
      <c r="A29" s="168"/>
      <c r="B29" s="9" t="s">
        <v>125</v>
      </c>
      <c r="C29" s="9"/>
      <c r="D29" s="9"/>
      <c r="E29" s="9"/>
      <c r="F29" s="38">
        <v>1.4625156602089724</v>
      </c>
      <c r="G29" s="38">
        <v>1.1767853328586686</v>
      </c>
      <c r="H29" s="38">
        <v>1.4644425985377425</v>
      </c>
      <c r="I29" s="38">
        <v>1.3113293067296155</v>
      </c>
      <c r="J29" s="38">
        <v>1.3126581121033862</v>
      </c>
      <c r="K29" s="38">
        <v>1.1801478967761543</v>
      </c>
      <c r="L29" s="38">
        <v>1.3168998263183818</v>
      </c>
      <c r="M29" s="38">
        <v>1.329638758408177</v>
      </c>
      <c r="N29" s="38">
        <v>1.2103114075964025</v>
      </c>
      <c r="O29" s="38">
        <v>1.2684229442934449</v>
      </c>
      <c r="P29" s="38">
        <v>1.3008108319841227</v>
      </c>
      <c r="Q29" s="38">
        <v>1.4144436371185385</v>
      </c>
      <c r="R29" s="38">
        <v>1.3816280240198004</v>
      </c>
      <c r="S29" s="38">
        <v>1.2372265061751615</v>
      </c>
      <c r="T29" s="38">
        <v>1.2786964036490347</v>
      </c>
      <c r="U29" s="38">
        <v>1.3711198689279547</v>
      </c>
      <c r="V29" s="38">
        <v>1.3027218542939154</v>
      </c>
    </row>
    <row r="30" spans="1:22" ht="25.5" customHeight="1">
      <c r="A30" s="168"/>
      <c r="B30" s="183" t="s">
        <v>132</v>
      </c>
      <c r="C30" s="183"/>
      <c r="D30" s="183"/>
      <c r="E30" s="183"/>
      <c r="F30" s="37">
        <v>2.1378475562681869</v>
      </c>
      <c r="G30" s="37">
        <v>1.9271480824348304</v>
      </c>
      <c r="H30" s="37">
        <v>1.7863379650380995</v>
      </c>
      <c r="I30" s="37">
        <v>1.7502577052971064</v>
      </c>
      <c r="J30" s="37">
        <v>1.7696936542669583</v>
      </c>
      <c r="K30" s="37">
        <v>1.5883975388718818</v>
      </c>
      <c r="L30" s="37">
        <v>1.9092530657748048</v>
      </c>
      <c r="M30" s="37">
        <v>2.0180712218744463</v>
      </c>
      <c r="N30" s="37">
        <v>1.6917757719290407</v>
      </c>
      <c r="O30" s="37">
        <v>1.9430006171504528</v>
      </c>
      <c r="P30" s="37">
        <v>2.0663806326834582</v>
      </c>
      <c r="Q30" s="37">
        <v>1.9065178571428572</v>
      </c>
      <c r="R30" s="37">
        <v>1.9141644478422482</v>
      </c>
      <c r="S30" s="37">
        <v>1.8862585034013606</v>
      </c>
      <c r="T30" s="37">
        <v>1.7924675036107098</v>
      </c>
      <c r="U30" s="37">
        <v>1.8731557159537204</v>
      </c>
      <c r="V30" s="37">
        <v>1.8998235799303274</v>
      </c>
    </row>
    <row r="31" spans="1:22">
      <c r="A31" s="168"/>
      <c r="B31" s="12"/>
      <c r="C31" s="12" t="s">
        <v>16</v>
      </c>
      <c r="D31" s="12"/>
      <c r="E31" s="12"/>
      <c r="F31" s="39">
        <v>2.1331873752095412</v>
      </c>
      <c r="G31" s="39">
        <v>1.9164070748609074</v>
      </c>
      <c r="H31" s="39">
        <v>1.6638541749582105</v>
      </c>
      <c r="I31" s="39">
        <v>1.6968497735774759</v>
      </c>
      <c r="J31" s="39">
        <v>1.8093719332679097</v>
      </c>
      <c r="K31" s="39">
        <v>1.5994911956901281</v>
      </c>
      <c r="L31" s="39">
        <v>1.9064250913520098</v>
      </c>
      <c r="M31" s="39">
        <v>1.9847944560317567</v>
      </c>
      <c r="N31" s="39">
        <v>1.6570964923230558</v>
      </c>
      <c r="O31" s="39">
        <v>1.8887098407127429</v>
      </c>
      <c r="P31" s="39">
        <v>2.0253489445149384</v>
      </c>
      <c r="Q31" s="39">
        <v>1.9958322808790099</v>
      </c>
      <c r="R31" s="39">
        <v>1.909773191324982</v>
      </c>
      <c r="S31" s="39">
        <v>1.8695626685426192</v>
      </c>
      <c r="T31" s="39">
        <v>1.7270276471263049</v>
      </c>
      <c r="U31" s="39">
        <v>1.8586608706152268</v>
      </c>
      <c r="V31" s="39">
        <v>1.8794710381139585</v>
      </c>
    </row>
    <row r="32" spans="1:22">
      <c r="A32" s="168"/>
      <c r="B32" s="12"/>
      <c r="C32" s="12" t="s">
        <v>187</v>
      </c>
      <c r="D32" s="12"/>
      <c r="E32" s="12"/>
      <c r="F32" s="39">
        <v>2.0700184586986614</v>
      </c>
      <c r="G32" s="39">
        <v>2.2442222222222221</v>
      </c>
      <c r="H32" s="39">
        <v>2.0048189715300233</v>
      </c>
      <c r="I32" s="39">
        <v>1.9191548876655258</v>
      </c>
      <c r="J32" s="39">
        <v>1.7386044502052278</v>
      </c>
      <c r="K32" s="39">
        <v>1.5868844092880836</v>
      </c>
      <c r="L32" s="39">
        <v>0</v>
      </c>
      <c r="M32" s="39">
        <v>2.3774875621890548</v>
      </c>
      <c r="N32" s="39">
        <v>1.7459596287401831</v>
      </c>
      <c r="O32" s="39">
        <v>2.1176860305405185</v>
      </c>
      <c r="P32" s="39">
        <v>2.1801346801346799</v>
      </c>
      <c r="Q32" s="39">
        <v>1.6109260493004665</v>
      </c>
      <c r="R32" s="39">
        <v>1.8923766816143497</v>
      </c>
      <c r="S32" s="39">
        <v>1.9909909909909911</v>
      </c>
      <c r="T32" s="39">
        <v>1.9140324273883123</v>
      </c>
      <c r="U32" s="39">
        <v>1.8862366683595735</v>
      </c>
      <c r="V32" s="39">
        <v>1.9803483501393955</v>
      </c>
    </row>
    <row r="33" spans="1:22">
      <c r="A33" s="168"/>
      <c r="B33" s="12"/>
      <c r="C33" s="12" t="s">
        <v>11</v>
      </c>
      <c r="D33" s="12"/>
      <c r="E33" s="12"/>
      <c r="F33" s="39">
        <v>2.2975455244934597</v>
      </c>
      <c r="G33" s="39">
        <v>2.3253782581055309</v>
      </c>
      <c r="H33" s="39">
        <v>2.487528344671202</v>
      </c>
      <c r="I33" s="39">
        <v>2.3446984126984129</v>
      </c>
      <c r="J33" s="39">
        <v>1.1123595505617978</v>
      </c>
      <c r="K33" s="39">
        <v>1.2946859903381642</v>
      </c>
      <c r="L33" s="39">
        <v>1.8005050505050506</v>
      </c>
      <c r="M33" s="39">
        <v>2.1176470588235294</v>
      </c>
      <c r="N33" s="39">
        <v>2.6608391608391608</v>
      </c>
      <c r="O33" s="39">
        <v>1.0422589320015367</v>
      </c>
      <c r="P33" s="39">
        <v>2.3325242718446604</v>
      </c>
      <c r="Q33" s="39">
        <v>2.1507537688442211</v>
      </c>
      <c r="R33" s="39">
        <v>2.4419642857142856</v>
      </c>
      <c r="S33" s="39">
        <v>1.7892156862745099</v>
      </c>
      <c r="T33" s="39">
        <v>1.839378238341969</v>
      </c>
      <c r="U33" s="39">
        <v>2.7719298245614037</v>
      </c>
      <c r="V33" s="39">
        <v>2.0079912844988588</v>
      </c>
    </row>
    <row r="34" spans="1:22">
      <c r="A34" s="168"/>
      <c r="B34" s="12"/>
      <c r="C34" s="12" t="s">
        <v>19</v>
      </c>
      <c r="D34" s="12"/>
      <c r="E34" s="12"/>
      <c r="F34" s="39">
        <v>1.9326306141154903</v>
      </c>
      <c r="G34" s="39">
        <v>1.4852652259332024</v>
      </c>
      <c r="H34" s="39">
        <v>2.5780346820809248</v>
      </c>
      <c r="I34" s="39">
        <v>1.5764192139737991</v>
      </c>
      <c r="J34" s="39">
        <v>2.7045454545454546</v>
      </c>
      <c r="K34" s="39">
        <v>1.5398009950248757</v>
      </c>
      <c r="L34" s="39">
        <v>2.137291280148423</v>
      </c>
      <c r="M34" s="39">
        <v>1.6472727272727272</v>
      </c>
      <c r="N34" s="39">
        <v>2.2377450980392157</v>
      </c>
      <c r="O34" s="39">
        <v>1.7219873150105709</v>
      </c>
      <c r="P34" s="39">
        <v>2.228723404255319</v>
      </c>
      <c r="Q34" s="39">
        <v>4.7948717948717947</v>
      </c>
      <c r="R34" s="39">
        <v>1.4236760124610592</v>
      </c>
      <c r="S34" s="39">
        <v>3.1111111111111112</v>
      </c>
      <c r="T34" s="39">
        <v>2.0714285714285716</v>
      </c>
      <c r="U34" s="39">
        <v>0</v>
      </c>
      <c r="V34" s="39">
        <v>1.8456371285113313</v>
      </c>
    </row>
    <row r="35" spans="1:22">
      <c r="A35" s="168"/>
      <c r="B35" s="14"/>
      <c r="C35" s="14" t="s">
        <v>20</v>
      </c>
      <c r="D35" s="14"/>
      <c r="E35" s="14"/>
      <c r="F35" s="40">
        <v>2.9772727272727271</v>
      </c>
      <c r="G35" s="40">
        <v>2.3227771010962242</v>
      </c>
      <c r="H35" s="40">
        <v>2.1158730158730159</v>
      </c>
      <c r="I35" s="40">
        <v>2.106280193236715</v>
      </c>
      <c r="J35" s="40">
        <v>1.8698224852071006</v>
      </c>
      <c r="K35" s="40">
        <v>1.572289156626506</v>
      </c>
      <c r="L35" s="40">
        <v>2.4734848484848486</v>
      </c>
      <c r="M35" s="40">
        <v>0</v>
      </c>
      <c r="N35" s="40">
        <v>2.4213973799126638</v>
      </c>
      <c r="O35" s="40">
        <v>1.5664072980949826</v>
      </c>
      <c r="P35" s="40">
        <v>3.0591133004926108</v>
      </c>
      <c r="Q35" s="40">
        <v>2.3571428571428572</v>
      </c>
      <c r="R35" s="40">
        <v>2.0357653791130188</v>
      </c>
      <c r="S35" s="40">
        <v>2.7555555555555555</v>
      </c>
      <c r="T35" s="40">
        <v>0</v>
      </c>
      <c r="U35" s="40">
        <v>1.9878048780487805</v>
      </c>
      <c r="V35" s="40">
        <v>1.9584608143092492</v>
      </c>
    </row>
    <row r="36" spans="1:22" ht="8.25" customHeight="1">
      <c r="A36" s="168"/>
      <c r="B36" s="15"/>
      <c r="C36" s="15"/>
      <c r="D36" s="15"/>
      <c r="E36" s="15"/>
      <c r="F36" s="39"/>
      <c r="G36" s="39"/>
      <c r="H36" s="39"/>
      <c r="I36" s="39"/>
      <c r="J36" s="39"/>
      <c r="K36" s="39"/>
      <c r="L36" s="39"/>
      <c r="M36" s="39"/>
      <c r="N36" s="39"/>
      <c r="O36" s="39"/>
      <c r="P36" s="39"/>
      <c r="Q36" s="39"/>
      <c r="R36" s="39"/>
      <c r="S36" s="39"/>
      <c r="T36" s="39"/>
      <c r="U36" s="39"/>
      <c r="V36" s="39"/>
    </row>
    <row r="37" spans="1:22">
      <c r="A37" s="168">
        <v>80</v>
      </c>
      <c r="B37" s="11" t="s">
        <v>128</v>
      </c>
      <c r="C37" s="11"/>
      <c r="D37" s="11"/>
      <c r="E37" s="11"/>
      <c r="F37" s="37">
        <v>1.2784559607016939</v>
      </c>
      <c r="G37" s="37">
        <v>1.0175507644719655</v>
      </c>
      <c r="H37" s="37">
        <v>1.233835127289542</v>
      </c>
      <c r="I37" s="37">
        <v>0.97553814999301702</v>
      </c>
      <c r="J37" s="37">
        <v>1.1361696734124804</v>
      </c>
      <c r="K37" s="37">
        <v>0.88721428416084902</v>
      </c>
      <c r="L37" s="37">
        <v>1.0741794217428113</v>
      </c>
      <c r="M37" s="37">
        <v>1.0084056876739507</v>
      </c>
      <c r="N37" s="37">
        <v>1.0256970996303434</v>
      </c>
      <c r="O37" s="37">
        <v>1.0142803203433954</v>
      </c>
      <c r="P37" s="37">
        <v>0.98251273187729338</v>
      </c>
      <c r="Q37" s="37">
        <v>1.2128328943517706</v>
      </c>
      <c r="R37" s="37">
        <v>1.1930373247194577</v>
      </c>
      <c r="S37" s="37">
        <v>0.97470778577560591</v>
      </c>
      <c r="T37" s="37">
        <v>1.107821160241409</v>
      </c>
      <c r="U37" s="37">
        <v>1.1777046230600936</v>
      </c>
      <c r="V37" s="37">
        <v>1.0844672955913679</v>
      </c>
    </row>
    <row r="38" spans="1:22">
      <c r="A38" s="168"/>
      <c r="B38" s="12"/>
      <c r="C38" s="12" t="s">
        <v>21</v>
      </c>
      <c r="D38" s="12"/>
      <c r="E38" s="12"/>
      <c r="F38" s="39">
        <v>0.88924211713960499</v>
      </c>
      <c r="G38" s="39">
        <v>0.69315528158210371</v>
      </c>
      <c r="H38" s="39">
        <v>0.93042109876100554</v>
      </c>
      <c r="I38" s="39">
        <v>0.7385496502433091</v>
      </c>
      <c r="J38" s="39">
        <v>0.88260405549626464</v>
      </c>
      <c r="K38" s="39">
        <v>0.77410289667099008</v>
      </c>
      <c r="L38" s="39">
        <v>0.75849118066933019</v>
      </c>
      <c r="M38" s="39">
        <v>0.66539761303845657</v>
      </c>
      <c r="N38" s="39">
        <v>0.76913196342877699</v>
      </c>
      <c r="O38" s="39">
        <v>0.69048294665934651</v>
      </c>
      <c r="P38" s="39">
        <v>0.73297455820773683</v>
      </c>
      <c r="Q38" s="39">
        <v>0.9997576051387711</v>
      </c>
      <c r="R38" s="39">
        <v>0.86714589550393217</v>
      </c>
      <c r="S38" s="39">
        <v>0.75024955080854461</v>
      </c>
      <c r="T38" s="39">
        <v>0.84977064220183485</v>
      </c>
      <c r="U38" s="39">
        <v>0.83463459238939297</v>
      </c>
      <c r="V38" s="39">
        <v>0.76821628338351877</v>
      </c>
    </row>
    <row r="39" spans="1:22">
      <c r="A39" s="168"/>
      <c r="B39" s="12"/>
      <c r="C39" s="12"/>
      <c r="D39" s="12" t="s">
        <v>22</v>
      </c>
      <c r="E39" s="12"/>
      <c r="F39" s="39">
        <v>0.66884841543006524</v>
      </c>
      <c r="G39" s="39">
        <v>0.60106836901698635</v>
      </c>
      <c r="H39" s="39">
        <v>0.71880372926504421</v>
      </c>
      <c r="I39" s="39">
        <v>0.7385496502433091</v>
      </c>
      <c r="J39" s="39">
        <v>0.69869080961375629</v>
      </c>
      <c r="K39" s="39">
        <v>0.55943375498289338</v>
      </c>
      <c r="L39" s="39">
        <v>0.67352270371138301</v>
      </c>
      <c r="M39" s="39">
        <v>0.59622184548316781</v>
      </c>
      <c r="N39" s="39">
        <v>0.59915042166949761</v>
      </c>
      <c r="O39" s="39">
        <v>0.60492669449654146</v>
      </c>
      <c r="P39" s="39">
        <v>0.61665405245319027</v>
      </c>
      <c r="Q39" s="39">
        <v>0.76918424942884023</v>
      </c>
      <c r="R39" s="39">
        <v>0.79698219306466733</v>
      </c>
      <c r="S39" s="39">
        <v>0.60281868213595124</v>
      </c>
      <c r="T39" s="39">
        <v>0.70569781244700691</v>
      </c>
      <c r="U39" s="39">
        <v>0.69979754049190157</v>
      </c>
      <c r="V39" s="39">
        <v>0.63957674086013738</v>
      </c>
    </row>
    <row r="40" spans="1:22">
      <c r="A40" s="168"/>
      <c r="B40" s="12"/>
      <c r="C40" s="12"/>
      <c r="D40" s="12" t="s">
        <v>23</v>
      </c>
      <c r="E40" s="12"/>
      <c r="F40" s="39">
        <v>2.4960805845335132</v>
      </c>
      <c r="G40" s="39">
        <v>1.3246540771790329</v>
      </c>
      <c r="H40" s="39">
        <v>1.9115302571011563</v>
      </c>
      <c r="I40" s="39">
        <v>0</v>
      </c>
      <c r="J40" s="39">
        <v>2.0351020408163265</v>
      </c>
      <c r="K40" s="39">
        <v>2.1023499708681297</v>
      </c>
      <c r="L40" s="39">
        <v>1.7942626058384936</v>
      </c>
      <c r="M40" s="39">
        <v>1.1881405563689604</v>
      </c>
      <c r="N40" s="39">
        <v>2.3615129570395093</v>
      </c>
      <c r="O40" s="39">
        <v>1.6439916092298472</v>
      </c>
      <c r="P40" s="39">
        <v>2.0487623301693652</v>
      </c>
      <c r="Q40" s="39">
        <v>3.1179012345679014</v>
      </c>
      <c r="R40" s="39">
        <v>1.3017527954064672</v>
      </c>
      <c r="S40" s="39">
        <v>2.0041113219481339</v>
      </c>
      <c r="T40" s="39">
        <v>1.5474836355832171</v>
      </c>
      <c r="U40" s="39">
        <v>2.8757094211123722</v>
      </c>
      <c r="V40" s="39">
        <v>1.8785664986746404</v>
      </c>
    </row>
    <row r="41" spans="1:22">
      <c r="A41" s="168"/>
      <c r="B41" s="12"/>
      <c r="C41" s="12"/>
      <c r="D41" s="12" t="s">
        <v>24</v>
      </c>
      <c r="E41" s="12"/>
      <c r="F41" s="39">
        <v>3.8923722627737227</v>
      </c>
      <c r="G41" s="39">
        <v>2.3805926754263349</v>
      </c>
      <c r="H41" s="39">
        <v>0</v>
      </c>
      <c r="I41" s="39">
        <v>0</v>
      </c>
      <c r="J41" s="39">
        <v>0</v>
      </c>
      <c r="K41" s="39">
        <v>0</v>
      </c>
      <c r="L41" s="39">
        <v>0</v>
      </c>
      <c r="M41" s="39">
        <v>0</v>
      </c>
      <c r="N41" s="39">
        <v>0</v>
      </c>
      <c r="O41" s="39">
        <v>0</v>
      </c>
      <c r="P41" s="39">
        <v>0</v>
      </c>
      <c r="Q41" s="39">
        <v>0</v>
      </c>
      <c r="R41" s="39">
        <v>2.1328467153284674</v>
      </c>
      <c r="S41" s="39">
        <v>0</v>
      </c>
      <c r="T41" s="39">
        <v>2.4432432432432432</v>
      </c>
      <c r="U41" s="39">
        <v>0</v>
      </c>
      <c r="V41" s="39">
        <v>2.434842194450328</v>
      </c>
    </row>
    <row r="42" spans="1:22">
      <c r="A42" s="168"/>
      <c r="B42" s="12"/>
      <c r="C42" s="12" t="s">
        <v>25</v>
      </c>
      <c r="D42" s="12"/>
      <c r="E42" s="12"/>
      <c r="F42" s="39">
        <v>1.5514285714285714</v>
      </c>
      <c r="G42" s="39">
        <v>0</v>
      </c>
      <c r="H42" s="39">
        <v>0</v>
      </c>
      <c r="I42" s="39">
        <v>0</v>
      </c>
      <c r="J42" s="39">
        <v>0</v>
      </c>
      <c r="K42" s="39">
        <v>0</v>
      </c>
      <c r="L42" s="39">
        <v>0</v>
      </c>
      <c r="M42" s="39">
        <v>0</v>
      </c>
      <c r="N42" s="39">
        <v>0</v>
      </c>
      <c r="O42" s="39">
        <v>0</v>
      </c>
      <c r="P42" s="39">
        <v>0</v>
      </c>
      <c r="Q42" s="39">
        <v>0</v>
      </c>
      <c r="R42" s="39">
        <v>0</v>
      </c>
      <c r="S42" s="39">
        <v>0</v>
      </c>
      <c r="T42" s="39">
        <v>0</v>
      </c>
      <c r="U42" s="39">
        <v>0</v>
      </c>
      <c r="V42" s="39">
        <v>1.5514285714285714</v>
      </c>
    </row>
    <row r="43" spans="1:22">
      <c r="A43" s="168"/>
      <c r="B43" s="12"/>
      <c r="C43" s="12" t="s">
        <v>26</v>
      </c>
      <c r="D43" s="12"/>
      <c r="E43" s="12"/>
      <c r="F43" s="39">
        <v>1.6687847909212996</v>
      </c>
      <c r="G43" s="39">
        <v>2.3888275042232374</v>
      </c>
      <c r="H43" s="39">
        <v>2.2425870441161275</v>
      </c>
      <c r="I43" s="39">
        <v>1.3588151865590223</v>
      </c>
      <c r="J43" s="39">
        <v>2.0331224413844438</v>
      </c>
      <c r="K43" s="39">
        <v>1.5302959135744481</v>
      </c>
      <c r="L43" s="39">
        <v>1.9202793133546698</v>
      </c>
      <c r="M43" s="39">
        <v>1.5411089866156789</v>
      </c>
      <c r="N43" s="39">
        <v>1.6251597353511726</v>
      </c>
      <c r="O43" s="39">
        <v>1.7040415291818163</v>
      </c>
      <c r="P43" s="39">
        <v>1.4607222914072229</v>
      </c>
      <c r="Q43" s="39">
        <v>1.7947494033412887</v>
      </c>
      <c r="R43" s="39">
        <v>1.5683201260890505</v>
      </c>
      <c r="S43" s="39">
        <v>1.5079791200596571</v>
      </c>
      <c r="T43" s="39">
        <v>1.6191063934830905</v>
      </c>
      <c r="U43" s="39">
        <v>1.6077938912744065</v>
      </c>
      <c r="V43" s="39">
        <v>1.7020825578444441</v>
      </c>
    </row>
    <row r="44" spans="1:22">
      <c r="A44" s="168"/>
      <c r="B44" s="12"/>
      <c r="C44" s="12" t="s">
        <v>27</v>
      </c>
      <c r="D44" s="12"/>
      <c r="E44" s="12"/>
      <c r="F44" s="39">
        <v>2.1641717791411041</v>
      </c>
      <c r="G44" s="39">
        <v>2.2989991659716429</v>
      </c>
      <c r="H44" s="39">
        <v>2.2777777777777777</v>
      </c>
      <c r="I44" s="39">
        <v>0</v>
      </c>
      <c r="J44" s="39">
        <v>5</v>
      </c>
      <c r="K44" s="39">
        <v>1.3821656050955413</v>
      </c>
      <c r="L44" s="39">
        <v>0</v>
      </c>
      <c r="M44" s="39">
        <v>0</v>
      </c>
      <c r="N44" s="39">
        <v>1.631578947368421</v>
      </c>
      <c r="O44" s="39">
        <v>0</v>
      </c>
      <c r="P44" s="39">
        <v>1.6122004357298474</v>
      </c>
      <c r="Q44" s="39">
        <v>0</v>
      </c>
      <c r="R44" s="39">
        <v>0</v>
      </c>
      <c r="S44" s="39">
        <v>0</v>
      </c>
      <c r="T44" s="39">
        <v>2.3370786516853932</v>
      </c>
      <c r="U44" s="39">
        <v>0</v>
      </c>
      <c r="V44" s="39">
        <v>2.1918698305084745</v>
      </c>
    </row>
    <row r="45" spans="1:22">
      <c r="A45" s="168"/>
      <c r="B45" s="12"/>
      <c r="C45" s="12" t="s">
        <v>28</v>
      </c>
      <c r="D45" s="12"/>
      <c r="E45" s="12"/>
      <c r="F45" s="39">
        <v>1.8900016122964476</v>
      </c>
      <c r="G45" s="39">
        <v>0</v>
      </c>
      <c r="H45" s="39">
        <v>1.8908428050611195</v>
      </c>
      <c r="I45" s="39">
        <v>1.8046460618145563</v>
      </c>
      <c r="J45" s="39">
        <v>2.3223684210526314</v>
      </c>
      <c r="K45" s="39">
        <v>1.5700934579439252</v>
      </c>
      <c r="L45" s="39">
        <v>1.9486056053967591</v>
      </c>
      <c r="M45" s="39">
        <v>1.9096742349457059</v>
      </c>
      <c r="N45" s="39">
        <v>1.6773033755162388</v>
      </c>
      <c r="O45" s="39">
        <v>2.027769916513372</v>
      </c>
      <c r="P45" s="39">
        <v>1.7451785492099041</v>
      </c>
      <c r="Q45" s="39">
        <v>2.9425511197663097</v>
      </c>
      <c r="R45" s="39">
        <v>1.8657855759371083</v>
      </c>
      <c r="S45" s="39">
        <v>1.9527732015376167</v>
      </c>
      <c r="T45" s="39">
        <v>1.9462314727215388</v>
      </c>
      <c r="U45" s="39">
        <v>2.1218896501983413</v>
      </c>
      <c r="V45" s="39">
        <v>1.9013330990599617</v>
      </c>
    </row>
    <row r="46" spans="1:22">
      <c r="A46" s="168"/>
      <c r="B46" s="12"/>
      <c r="C46" s="12" t="s">
        <v>29</v>
      </c>
      <c r="D46" s="12"/>
      <c r="E46" s="12"/>
      <c r="F46" s="39">
        <v>0</v>
      </c>
      <c r="G46" s="39">
        <v>1.5558615348206795</v>
      </c>
      <c r="H46" s="39">
        <v>1.4539494224164846</v>
      </c>
      <c r="I46" s="39">
        <v>1.0057469244288224</v>
      </c>
      <c r="J46" s="39">
        <v>1.5565410199556542</v>
      </c>
      <c r="K46" s="39">
        <v>1.3210332103321034</v>
      </c>
      <c r="L46" s="39">
        <v>1.1962285287528005</v>
      </c>
      <c r="M46" s="39">
        <v>2.9090909090909092</v>
      </c>
      <c r="N46" s="39">
        <v>0.97922198899683022</v>
      </c>
      <c r="O46" s="39">
        <v>1.1537182063899092</v>
      </c>
      <c r="P46" s="39">
        <v>1.3412863070539418</v>
      </c>
      <c r="Q46" s="39">
        <v>1.258806404657933</v>
      </c>
      <c r="R46" s="39">
        <v>1.3886370993849142</v>
      </c>
      <c r="S46" s="39">
        <v>1.1761083743842364</v>
      </c>
      <c r="T46" s="39">
        <v>2.4508474576271189</v>
      </c>
      <c r="U46" s="39">
        <v>1.5403973509933775</v>
      </c>
      <c r="V46" s="39">
        <v>1.3365565156504977</v>
      </c>
    </row>
    <row r="47" spans="1:22">
      <c r="A47" s="168"/>
      <c r="B47" s="12"/>
      <c r="C47" s="12" t="s">
        <v>30</v>
      </c>
      <c r="D47" s="12"/>
      <c r="E47" s="12"/>
      <c r="F47" s="39">
        <v>1.5943989238106884</v>
      </c>
      <c r="G47" s="39">
        <v>2.0781753336401287</v>
      </c>
      <c r="H47" s="39">
        <v>1.3696522006771314</v>
      </c>
      <c r="I47" s="39">
        <v>1.1796128784975086</v>
      </c>
      <c r="J47" s="39">
        <v>1.5362752430815259</v>
      </c>
      <c r="K47" s="39">
        <v>1.0819003206062372</v>
      </c>
      <c r="L47" s="39">
        <v>1.392346854984398</v>
      </c>
      <c r="M47" s="39">
        <v>1.8001601642710472</v>
      </c>
      <c r="N47" s="39">
        <v>1.4336397538231327</v>
      </c>
      <c r="O47" s="39">
        <v>1.2253178712955535</v>
      </c>
      <c r="P47" s="39">
        <v>0.93810898592565861</v>
      </c>
      <c r="Q47" s="39">
        <v>0.97731641676278358</v>
      </c>
      <c r="R47" s="39">
        <v>1.6640507789959607</v>
      </c>
      <c r="S47" s="39">
        <v>1.1783367323815999</v>
      </c>
      <c r="T47" s="39">
        <v>1.515829383886256</v>
      </c>
      <c r="U47" s="39">
        <v>1.5105276839095398</v>
      </c>
      <c r="V47" s="39">
        <v>1.3969853991889081</v>
      </c>
    </row>
    <row r="48" spans="1:22">
      <c r="A48" s="168"/>
      <c r="B48" s="12"/>
      <c r="C48" s="12" t="s">
        <v>31</v>
      </c>
      <c r="D48" s="12"/>
      <c r="E48" s="12"/>
      <c r="F48" s="40">
        <v>0</v>
      </c>
      <c r="G48" s="40">
        <v>2.0518493150684933</v>
      </c>
      <c r="H48" s="40">
        <v>0</v>
      </c>
      <c r="I48" s="40">
        <v>0</v>
      </c>
      <c r="J48" s="40">
        <v>0</v>
      </c>
      <c r="K48" s="40">
        <v>0</v>
      </c>
      <c r="L48" s="40">
        <v>0</v>
      </c>
      <c r="M48" s="40">
        <v>0</v>
      </c>
      <c r="N48" s="40">
        <v>0</v>
      </c>
      <c r="O48" s="40">
        <v>0</v>
      </c>
      <c r="P48" s="40">
        <v>0</v>
      </c>
      <c r="Q48" s="40">
        <v>0</v>
      </c>
      <c r="R48" s="40">
        <v>0</v>
      </c>
      <c r="S48" s="40">
        <v>0</v>
      </c>
      <c r="T48" s="40">
        <v>0</v>
      </c>
      <c r="U48" s="40">
        <v>0</v>
      </c>
      <c r="V48" s="40">
        <v>2.0518493150684933</v>
      </c>
    </row>
    <row r="49" spans="1:22" ht="24" customHeight="1">
      <c r="A49" s="168"/>
      <c r="B49" s="183" t="s">
        <v>129</v>
      </c>
      <c r="C49" s="183"/>
      <c r="D49" s="183"/>
      <c r="E49" s="183"/>
      <c r="F49" s="42">
        <v>1.9808039237001465</v>
      </c>
      <c r="G49" s="42">
        <v>1.9018447798280989</v>
      </c>
      <c r="H49" s="42">
        <v>2.0357092198581559</v>
      </c>
      <c r="I49" s="42">
        <v>1.3918798342541436</v>
      </c>
      <c r="J49" s="42">
        <v>2.0834383312333755</v>
      </c>
      <c r="K49" s="42">
        <v>1.7245639534883721</v>
      </c>
      <c r="L49" s="42">
        <v>1.6754239644147901</v>
      </c>
      <c r="M49" s="42">
        <v>1.6338463840399002</v>
      </c>
      <c r="N49" s="42">
        <v>1.7527698741333331</v>
      </c>
      <c r="O49" s="42">
        <v>1.655784278975925</v>
      </c>
      <c r="P49" s="42">
        <v>1.5561929979405709</v>
      </c>
      <c r="Q49" s="42">
        <v>1.7765193136674837</v>
      </c>
      <c r="R49" s="42">
        <v>1.6074495725817648</v>
      </c>
      <c r="S49" s="42">
        <v>1.5546310741318541</v>
      </c>
      <c r="T49" s="42">
        <v>1.6980907668231613</v>
      </c>
      <c r="U49" s="42">
        <v>1.8116093482804485</v>
      </c>
      <c r="V49" s="42">
        <v>1.7666277699281592</v>
      </c>
    </row>
    <row r="50" spans="1:22">
      <c r="A50" s="168"/>
      <c r="B50" s="12"/>
      <c r="C50" s="12" t="s">
        <v>21</v>
      </c>
      <c r="D50" s="12"/>
      <c r="E50" s="12"/>
      <c r="F50" s="39">
        <v>2.5120541939793744</v>
      </c>
      <c r="G50" s="39">
        <v>1.4660229059061305</v>
      </c>
      <c r="H50" s="39">
        <v>2.0839353737028765</v>
      </c>
      <c r="I50" s="39">
        <v>0</v>
      </c>
      <c r="J50" s="39">
        <v>2.4948394495412844</v>
      </c>
      <c r="K50" s="39">
        <v>2.1766190075693861</v>
      </c>
      <c r="L50" s="39">
        <v>1.7942626058384936</v>
      </c>
      <c r="M50" s="39">
        <v>1.5906515580736544</v>
      </c>
      <c r="N50" s="39">
        <v>2.3922394145179542</v>
      </c>
      <c r="O50" s="39">
        <v>1.6439916092298472</v>
      </c>
      <c r="P50" s="39">
        <v>2.0487623301693652</v>
      </c>
      <c r="Q50" s="39">
        <v>3.1179012345679014</v>
      </c>
      <c r="R50" s="39">
        <v>1.5368128272251309</v>
      </c>
      <c r="S50" s="39">
        <v>2.0041113219481339</v>
      </c>
      <c r="T50" s="39">
        <v>1.6626988946920929</v>
      </c>
      <c r="U50" s="39">
        <v>2.8757094211123722</v>
      </c>
      <c r="V50" s="39">
        <v>1.9449213538387684</v>
      </c>
    </row>
    <row r="51" spans="1:22">
      <c r="A51" s="168"/>
      <c r="B51" s="12"/>
      <c r="C51" s="12"/>
      <c r="D51" s="12" t="s">
        <v>23</v>
      </c>
      <c r="E51" s="12"/>
      <c r="F51" s="39">
        <v>2.4960805845335132</v>
      </c>
      <c r="G51" s="39">
        <v>1.3246540771790329</v>
      </c>
      <c r="H51" s="39">
        <v>2.0839353737028765</v>
      </c>
      <c r="I51" s="39">
        <v>0</v>
      </c>
      <c r="J51" s="39">
        <v>2.4948394495412844</v>
      </c>
      <c r="K51" s="39">
        <v>2.1766190075693861</v>
      </c>
      <c r="L51" s="39">
        <v>1.7942626058384936</v>
      </c>
      <c r="M51" s="39">
        <v>1.5906515580736544</v>
      </c>
      <c r="N51" s="39">
        <v>2.3922394145179542</v>
      </c>
      <c r="O51" s="39">
        <v>1.6439916092298472</v>
      </c>
      <c r="P51" s="39">
        <v>2.0487623301693652</v>
      </c>
      <c r="Q51" s="39">
        <v>3.1179012345679014</v>
      </c>
      <c r="R51" s="39">
        <v>1.4615809839690437</v>
      </c>
      <c r="S51" s="39">
        <v>2.0041113219481339</v>
      </c>
      <c r="T51" s="39">
        <v>1.6447564612326044</v>
      </c>
      <c r="U51" s="39">
        <v>2.8757094211123722</v>
      </c>
      <c r="V51" s="39">
        <v>1.927982124235224</v>
      </c>
    </row>
    <row r="52" spans="1:22">
      <c r="A52" s="168"/>
      <c r="B52" s="12"/>
      <c r="C52" s="12"/>
      <c r="D52" s="12" t="s">
        <v>24</v>
      </c>
      <c r="E52" s="12"/>
      <c r="F52" s="39">
        <v>3.8923722627737227</v>
      </c>
      <c r="G52" s="39">
        <v>2.3805926754263349</v>
      </c>
      <c r="H52" s="39">
        <v>0</v>
      </c>
      <c r="I52" s="39">
        <v>0</v>
      </c>
      <c r="J52" s="39">
        <v>0</v>
      </c>
      <c r="K52" s="39">
        <v>0</v>
      </c>
      <c r="L52" s="39">
        <v>0</v>
      </c>
      <c r="M52" s="39">
        <v>0</v>
      </c>
      <c r="N52" s="39">
        <v>0</v>
      </c>
      <c r="O52" s="39">
        <v>0</v>
      </c>
      <c r="P52" s="39">
        <v>0</v>
      </c>
      <c r="Q52" s="39">
        <v>0</v>
      </c>
      <c r="R52" s="39">
        <v>2.1328467153284674</v>
      </c>
      <c r="S52" s="39">
        <v>0</v>
      </c>
      <c r="T52" s="39">
        <v>2.4432432432432432</v>
      </c>
      <c r="U52" s="39">
        <v>0</v>
      </c>
      <c r="V52" s="39">
        <v>2.434842194450328</v>
      </c>
    </row>
    <row r="53" spans="1:22">
      <c r="A53" s="168"/>
      <c r="B53" s="12"/>
      <c r="C53" s="12" t="s">
        <v>25</v>
      </c>
      <c r="D53" s="12"/>
      <c r="E53" s="12"/>
      <c r="F53" s="39">
        <v>1.5514285714285714</v>
      </c>
      <c r="G53" s="39">
        <v>0</v>
      </c>
      <c r="H53" s="39">
        <v>0</v>
      </c>
      <c r="I53" s="39">
        <v>0</v>
      </c>
      <c r="J53" s="39">
        <v>0</v>
      </c>
      <c r="K53" s="39">
        <v>0</v>
      </c>
      <c r="L53" s="39">
        <v>0</v>
      </c>
      <c r="M53" s="39">
        <v>0</v>
      </c>
      <c r="N53" s="39">
        <v>0</v>
      </c>
      <c r="O53" s="39">
        <v>0</v>
      </c>
      <c r="P53" s="39">
        <v>0</v>
      </c>
      <c r="Q53" s="39">
        <v>0</v>
      </c>
      <c r="R53" s="39">
        <v>0</v>
      </c>
      <c r="S53" s="39">
        <v>0</v>
      </c>
      <c r="T53" s="39">
        <v>0</v>
      </c>
      <c r="U53" s="39">
        <v>0</v>
      </c>
      <c r="V53" s="39">
        <v>1.5514285714285714</v>
      </c>
    </row>
    <row r="54" spans="1:22">
      <c r="A54" s="168"/>
      <c r="B54" s="12"/>
      <c r="C54" s="12" t="s">
        <v>26</v>
      </c>
      <c r="D54" s="12"/>
      <c r="E54" s="12"/>
      <c r="F54" s="39">
        <v>1.8497890888638919</v>
      </c>
      <c r="G54" s="39">
        <v>2.4129684973154797</v>
      </c>
      <c r="H54" s="39">
        <v>2.2425870441161275</v>
      </c>
      <c r="I54" s="39">
        <v>1.3588151865590223</v>
      </c>
      <c r="J54" s="39">
        <v>2.0422163588390503</v>
      </c>
      <c r="K54" s="39">
        <v>1.5275403608736942</v>
      </c>
      <c r="L54" s="39">
        <v>1.9202793133546698</v>
      </c>
      <c r="M54" s="39">
        <v>1.5442591404746633</v>
      </c>
      <c r="N54" s="39">
        <v>1.6628313891589743</v>
      </c>
      <c r="O54" s="39">
        <v>1.7040415291818163</v>
      </c>
      <c r="P54" s="39">
        <v>1.4607222914072229</v>
      </c>
      <c r="Q54" s="39">
        <v>1.7947494033412887</v>
      </c>
      <c r="R54" s="39">
        <v>1.5588314606741573</v>
      </c>
      <c r="S54" s="39">
        <v>1.5235720761559384</v>
      </c>
      <c r="T54" s="39">
        <v>1.6191063934830905</v>
      </c>
      <c r="U54" s="39">
        <v>1.6660157908141608</v>
      </c>
      <c r="V54" s="39">
        <v>1.7478445502659901</v>
      </c>
    </row>
    <row r="55" spans="1:22">
      <c r="A55" s="168"/>
      <c r="B55" s="12"/>
      <c r="C55" s="12" t="s">
        <v>27</v>
      </c>
      <c r="D55" s="12"/>
      <c r="E55" s="12"/>
      <c r="F55" s="39">
        <v>2.1641717791411041</v>
      </c>
      <c r="G55" s="39">
        <v>2.299352412784625</v>
      </c>
      <c r="H55" s="39">
        <v>2.1810344827586206</v>
      </c>
      <c r="I55" s="39">
        <v>0</v>
      </c>
      <c r="J55" s="39">
        <v>5</v>
      </c>
      <c r="K55" s="39">
        <v>1.3821656050955413</v>
      </c>
      <c r="L55" s="39">
        <v>0</v>
      </c>
      <c r="M55" s="39">
        <v>0</v>
      </c>
      <c r="N55" s="39">
        <v>1.631578947368421</v>
      </c>
      <c r="O55" s="39">
        <v>0</v>
      </c>
      <c r="P55" s="39">
        <v>2.0234505862646568</v>
      </c>
      <c r="Q55" s="39">
        <v>0</v>
      </c>
      <c r="R55" s="39">
        <v>0</v>
      </c>
      <c r="S55" s="39">
        <v>0</v>
      </c>
      <c r="T55" s="39">
        <v>2.3370786516853932</v>
      </c>
      <c r="U55" s="39">
        <v>0</v>
      </c>
      <c r="V55" s="39">
        <v>2.248406085596474</v>
      </c>
    </row>
    <row r="56" spans="1:22">
      <c r="A56" s="168"/>
      <c r="B56" s="12"/>
      <c r="C56" s="12" t="s">
        <v>28</v>
      </c>
      <c r="D56" s="12"/>
      <c r="E56" s="12"/>
      <c r="F56" s="39">
        <v>1.8900016122964476</v>
      </c>
      <c r="G56" s="39">
        <v>0</v>
      </c>
      <c r="H56" s="39">
        <v>1.8908428050611195</v>
      </c>
      <c r="I56" s="39">
        <v>1.8046460618145563</v>
      </c>
      <c r="J56" s="39">
        <v>2.3223684210526314</v>
      </c>
      <c r="K56" s="39">
        <v>1.5700934579439252</v>
      </c>
      <c r="L56" s="39">
        <v>1.9486056053967591</v>
      </c>
      <c r="M56" s="39">
        <v>1.9096742349457059</v>
      </c>
      <c r="N56" s="39">
        <v>1.6773033755162388</v>
      </c>
      <c r="O56" s="39">
        <v>2.027769916513372</v>
      </c>
      <c r="P56" s="39">
        <v>1.7451785492099041</v>
      </c>
      <c r="Q56" s="39">
        <v>2.9425511197663097</v>
      </c>
      <c r="R56" s="39">
        <v>1.8657855759371083</v>
      </c>
      <c r="S56" s="39">
        <v>1.9527732015376167</v>
      </c>
      <c r="T56" s="39">
        <v>1.9462314727215388</v>
      </c>
      <c r="U56" s="39">
        <v>2.1218896501983413</v>
      </c>
      <c r="V56" s="39">
        <v>1.9013330990599617</v>
      </c>
    </row>
    <row r="57" spans="1:22">
      <c r="A57" s="168"/>
      <c r="B57" s="12"/>
      <c r="C57" s="12" t="s">
        <v>29</v>
      </c>
      <c r="D57" s="12"/>
      <c r="E57" s="12"/>
      <c r="F57" s="39">
        <v>0</v>
      </c>
      <c r="G57" s="39">
        <v>1.7501256300595693</v>
      </c>
      <c r="H57" s="39">
        <v>1.4292007551919446</v>
      </c>
      <c r="I57" s="39">
        <v>1.0057469244288224</v>
      </c>
      <c r="J57" s="39">
        <v>1.7110481586402266</v>
      </c>
      <c r="K57" s="39">
        <v>1.3210332103321034</v>
      </c>
      <c r="L57" s="39">
        <v>1.1981615807903951</v>
      </c>
      <c r="M57" s="39">
        <v>2.9090909090909092</v>
      </c>
      <c r="N57" s="39">
        <v>1.4089010655130993</v>
      </c>
      <c r="O57" s="39">
        <v>1.1537304452466908</v>
      </c>
      <c r="P57" s="39">
        <v>1.3412863070539418</v>
      </c>
      <c r="Q57" s="39">
        <v>1.255281690140845</v>
      </c>
      <c r="R57" s="39">
        <v>1.3886370993849142</v>
      </c>
      <c r="S57" s="39">
        <v>1.1761083743842364</v>
      </c>
      <c r="T57" s="39">
        <v>2.4519572953736657</v>
      </c>
      <c r="U57" s="39">
        <v>1.5403973509933775</v>
      </c>
      <c r="V57" s="39">
        <v>1.435970707672243</v>
      </c>
    </row>
    <row r="58" spans="1:22">
      <c r="A58" s="168"/>
      <c r="B58" s="12"/>
      <c r="C58" s="12" t="s">
        <v>30</v>
      </c>
      <c r="D58" s="12"/>
      <c r="E58" s="12"/>
      <c r="F58" s="39">
        <v>2.1104967757344157</v>
      </c>
      <c r="G58" s="39">
        <v>2.2099626411815811</v>
      </c>
      <c r="H58" s="39">
        <v>2.1029790364104448</v>
      </c>
      <c r="I58" s="39">
        <v>1.2583486842105263</v>
      </c>
      <c r="J58" s="39">
        <v>1.4972727272727273</v>
      </c>
      <c r="K58" s="39">
        <v>1.2439024390243902</v>
      </c>
      <c r="L58" s="39">
        <v>1.5197801013258596</v>
      </c>
      <c r="M58" s="39">
        <v>1.8985665584415585</v>
      </c>
      <c r="N58" s="39">
        <v>1.5502266299821934</v>
      </c>
      <c r="O58" s="39">
        <v>1.2253203562436585</v>
      </c>
      <c r="P58" s="39">
        <v>1.1138551695269987</v>
      </c>
      <c r="Q58" s="39">
        <v>0.94713216957605983</v>
      </c>
      <c r="R58" s="39">
        <v>1.6916361588284989</v>
      </c>
      <c r="S58" s="39">
        <v>1.2431192660550459</v>
      </c>
      <c r="T58" s="39">
        <v>1.5160142348754448</v>
      </c>
      <c r="U58" s="39">
        <v>1.622366790582404</v>
      </c>
      <c r="V58" s="39">
        <v>1.5549531334940538</v>
      </c>
    </row>
    <row r="59" spans="1:22">
      <c r="A59" s="168"/>
      <c r="B59" s="13"/>
      <c r="C59" s="13" t="s">
        <v>31</v>
      </c>
      <c r="D59" s="13"/>
      <c r="E59" s="13"/>
      <c r="F59" s="40">
        <v>0</v>
      </c>
      <c r="G59" s="40">
        <v>2.0693298359686714</v>
      </c>
      <c r="H59" s="40">
        <v>0</v>
      </c>
      <c r="I59" s="40">
        <v>0</v>
      </c>
      <c r="J59" s="40">
        <v>0</v>
      </c>
      <c r="K59" s="40">
        <v>0</v>
      </c>
      <c r="L59" s="40">
        <v>0</v>
      </c>
      <c r="M59" s="40">
        <v>0</v>
      </c>
      <c r="N59" s="40">
        <v>0</v>
      </c>
      <c r="O59" s="40">
        <v>0</v>
      </c>
      <c r="P59" s="40">
        <v>0</v>
      </c>
      <c r="Q59" s="40">
        <v>0</v>
      </c>
      <c r="R59" s="40">
        <v>0</v>
      </c>
      <c r="S59" s="40">
        <v>0</v>
      </c>
      <c r="T59" s="40">
        <v>0</v>
      </c>
      <c r="U59" s="40">
        <v>0</v>
      </c>
      <c r="V59" s="40">
        <v>2.0693298359686714</v>
      </c>
    </row>
    <row r="60" spans="1:22" ht="27" customHeight="1">
      <c r="A60" s="168"/>
      <c r="B60" s="183" t="s">
        <v>130</v>
      </c>
      <c r="C60" s="183"/>
      <c r="D60" s="183"/>
      <c r="E60" s="183"/>
      <c r="F60" s="42">
        <v>0.7659733109369169</v>
      </c>
      <c r="G60" s="42">
        <v>0.66610227663664867</v>
      </c>
      <c r="H60" s="42">
        <v>0.7784267128529424</v>
      </c>
      <c r="I60" s="42">
        <v>0.76387367460150279</v>
      </c>
      <c r="J60" s="42">
        <v>0.7267336318528379</v>
      </c>
      <c r="K60" s="42">
        <v>0.57856356222281746</v>
      </c>
      <c r="L60" s="42">
        <v>0.68269356476965315</v>
      </c>
      <c r="M60" s="42">
        <v>0.61395704143075402</v>
      </c>
      <c r="N60" s="42">
        <v>0.6105959787027303</v>
      </c>
      <c r="O60" s="42">
        <v>0.64644727585398265</v>
      </c>
      <c r="P60" s="42">
        <v>0.63536829612046586</v>
      </c>
      <c r="Q60" s="42">
        <v>0.78271525314414703</v>
      </c>
      <c r="R60" s="42">
        <v>0.82449951494840812</v>
      </c>
      <c r="S60" s="42">
        <v>0.61780812175520949</v>
      </c>
      <c r="T60" s="42">
        <v>0.72481722177091801</v>
      </c>
      <c r="U60" s="42">
        <v>0.69861784239813318</v>
      </c>
      <c r="V60" s="42">
        <v>0.6836070786129127</v>
      </c>
    </row>
    <row r="61" spans="1:22">
      <c r="A61" s="168"/>
      <c r="B61" s="12"/>
      <c r="C61" s="12" t="s">
        <v>21</v>
      </c>
      <c r="D61" s="12"/>
      <c r="E61" s="12"/>
      <c r="F61" s="39">
        <v>0.66884841543006524</v>
      </c>
      <c r="G61" s="39">
        <v>0.60106836901698635</v>
      </c>
      <c r="H61" s="39">
        <v>0.7242245650285285</v>
      </c>
      <c r="I61" s="39">
        <v>0.7385496502433091</v>
      </c>
      <c r="J61" s="39">
        <v>0.70751603462233015</v>
      </c>
      <c r="K61" s="39">
        <v>0.56728264913803794</v>
      </c>
      <c r="L61" s="39">
        <v>0.67352270371138301</v>
      </c>
      <c r="M61" s="39">
        <v>0.60591850671522873</v>
      </c>
      <c r="N61" s="39">
        <v>0.60004859457957616</v>
      </c>
      <c r="O61" s="39">
        <v>0.60492669449654146</v>
      </c>
      <c r="P61" s="39">
        <v>0.61665405245319027</v>
      </c>
      <c r="Q61" s="39">
        <v>0.76918424942884023</v>
      </c>
      <c r="R61" s="39">
        <v>0.79210135494398715</v>
      </c>
      <c r="S61" s="39">
        <v>0.60281868213595124</v>
      </c>
      <c r="T61" s="39">
        <v>0.71162301071273759</v>
      </c>
      <c r="U61" s="39">
        <v>0.69979754049190157</v>
      </c>
      <c r="V61" s="39">
        <v>0.64057210363357797</v>
      </c>
    </row>
    <row r="62" spans="1:22">
      <c r="A62" s="168"/>
      <c r="B62" s="12"/>
      <c r="C62" s="12"/>
      <c r="D62" s="12" t="s">
        <v>22</v>
      </c>
      <c r="E62" s="12"/>
      <c r="F62" s="39">
        <v>0.66884841543006524</v>
      </c>
      <c r="G62" s="39">
        <v>0.60106836901698635</v>
      </c>
      <c r="H62" s="39">
        <v>0.71880372926504421</v>
      </c>
      <c r="I62" s="39">
        <v>0.7385496502433091</v>
      </c>
      <c r="J62" s="39">
        <v>0.69869080961375629</v>
      </c>
      <c r="K62" s="39">
        <v>0.55943375498289338</v>
      </c>
      <c r="L62" s="39">
        <v>0.67352270371138301</v>
      </c>
      <c r="M62" s="39">
        <v>0.59622184548316781</v>
      </c>
      <c r="N62" s="39">
        <v>0.59915042166949761</v>
      </c>
      <c r="O62" s="39">
        <v>0.60492669449654146</v>
      </c>
      <c r="P62" s="39">
        <v>0.61665405245319027</v>
      </c>
      <c r="Q62" s="39">
        <v>0.76918424942884023</v>
      </c>
      <c r="R62" s="39">
        <v>0.79698219306466733</v>
      </c>
      <c r="S62" s="39">
        <v>0.60281868213595124</v>
      </c>
      <c r="T62" s="39">
        <v>0.70569781244700691</v>
      </c>
      <c r="U62" s="39">
        <v>0.69979754049190157</v>
      </c>
      <c r="V62" s="39">
        <v>0.63957674086013738</v>
      </c>
    </row>
    <row r="63" spans="1:22">
      <c r="A63" s="168"/>
      <c r="B63" s="12"/>
      <c r="C63" s="12"/>
      <c r="D63" s="12" t="s">
        <v>23</v>
      </c>
      <c r="E63" s="12"/>
      <c r="F63" s="39">
        <v>0</v>
      </c>
      <c r="G63" s="39">
        <v>0</v>
      </c>
      <c r="H63" s="39">
        <v>0.89721792890262753</v>
      </c>
      <c r="I63" s="39">
        <v>0</v>
      </c>
      <c r="J63" s="39">
        <v>0.89943342776203961</v>
      </c>
      <c r="K63" s="39">
        <v>1.2035623409669212</v>
      </c>
      <c r="L63" s="39">
        <v>0</v>
      </c>
      <c r="M63" s="39">
        <v>0.75757575757575757</v>
      </c>
      <c r="N63" s="39">
        <v>0.98531660600177795</v>
      </c>
      <c r="O63" s="39">
        <v>0</v>
      </c>
      <c r="P63" s="39">
        <v>0</v>
      </c>
      <c r="Q63" s="39">
        <v>0</v>
      </c>
      <c r="R63" s="39">
        <v>0.57346767422334177</v>
      </c>
      <c r="S63" s="39">
        <v>0</v>
      </c>
      <c r="T63" s="39">
        <v>0.9315499606608969</v>
      </c>
      <c r="U63" s="39">
        <v>0</v>
      </c>
      <c r="V63" s="39">
        <v>0.83923988972621122</v>
      </c>
    </row>
    <row r="64" spans="1:22">
      <c r="A64" s="168"/>
      <c r="B64" s="12"/>
      <c r="C64" s="12" t="s">
        <v>25</v>
      </c>
      <c r="D64" s="12"/>
      <c r="E64" s="12"/>
      <c r="F64" s="39">
        <v>0</v>
      </c>
      <c r="G64" s="39">
        <v>0</v>
      </c>
      <c r="H64" s="39">
        <v>0</v>
      </c>
      <c r="I64" s="39">
        <v>0</v>
      </c>
      <c r="J64" s="39">
        <v>0</v>
      </c>
      <c r="K64" s="39">
        <v>0</v>
      </c>
      <c r="L64" s="39">
        <v>0</v>
      </c>
      <c r="M64" s="39">
        <v>0</v>
      </c>
      <c r="N64" s="39">
        <v>0</v>
      </c>
      <c r="O64" s="39">
        <v>0</v>
      </c>
      <c r="P64" s="39">
        <v>0</v>
      </c>
      <c r="Q64" s="39">
        <v>0</v>
      </c>
      <c r="R64" s="39">
        <v>0</v>
      </c>
      <c r="S64" s="39">
        <v>0</v>
      </c>
      <c r="T64" s="39">
        <v>0</v>
      </c>
      <c r="U64" s="39">
        <v>0</v>
      </c>
      <c r="V64" s="39">
        <v>0</v>
      </c>
    </row>
    <row r="65" spans="1:28">
      <c r="A65" s="168"/>
      <c r="B65" s="12"/>
      <c r="C65" s="12" t="s">
        <v>26</v>
      </c>
      <c r="D65" s="12"/>
      <c r="E65" s="12"/>
      <c r="F65" s="39">
        <v>1.260907847780409</v>
      </c>
      <c r="G65" s="39">
        <v>1.67662213740458</v>
      </c>
      <c r="H65" s="39">
        <v>0</v>
      </c>
      <c r="I65" s="39">
        <v>0</v>
      </c>
      <c r="J65" s="39">
        <v>1.3235294117647058</v>
      </c>
      <c r="K65" s="39">
        <v>1.7826086956521738</v>
      </c>
      <c r="L65" s="39">
        <v>0</v>
      </c>
      <c r="M65" s="39">
        <v>1.05</v>
      </c>
      <c r="N65" s="39">
        <v>0.76111777710072048</v>
      </c>
      <c r="O65" s="39">
        <v>0</v>
      </c>
      <c r="P65" s="39">
        <v>0</v>
      </c>
      <c r="Q65" s="39">
        <v>0</v>
      </c>
      <c r="R65" s="39">
        <v>1.9255499153976312</v>
      </c>
      <c r="S65" s="39">
        <v>0.32183908045977011</v>
      </c>
      <c r="T65" s="39">
        <v>0</v>
      </c>
      <c r="U65" s="39">
        <v>0.39184397163120566</v>
      </c>
      <c r="V65" s="39">
        <v>1.2386327148668057</v>
      </c>
    </row>
    <row r="66" spans="1:28">
      <c r="A66" s="168"/>
      <c r="B66" s="12"/>
      <c r="C66" s="12" t="s">
        <v>27</v>
      </c>
      <c r="D66" s="12"/>
      <c r="E66" s="12"/>
      <c r="F66" s="39">
        <v>0</v>
      </c>
      <c r="G66" s="39">
        <v>2.1111111111111112</v>
      </c>
      <c r="H66" s="39">
        <v>5.083333333333333</v>
      </c>
      <c r="I66" s="39">
        <v>0</v>
      </c>
      <c r="J66" s="39">
        <v>0</v>
      </c>
      <c r="K66" s="39">
        <v>0</v>
      </c>
      <c r="L66" s="39">
        <v>0</v>
      </c>
      <c r="M66" s="39">
        <v>0</v>
      </c>
      <c r="N66" s="39">
        <v>0</v>
      </c>
      <c r="O66" s="39">
        <v>0</v>
      </c>
      <c r="P66" s="39">
        <v>0.84735202492211836</v>
      </c>
      <c r="Q66" s="39">
        <v>0</v>
      </c>
      <c r="R66" s="39">
        <v>0</v>
      </c>
      <c r="S66" s="39">
        <v>0</v>
      </c>
      <c r="T66" s="39">
        <v>0</v>
      </c>
      <c r="U66" s="39">
        <v>0</v>
      </c>
      <c r="V66" s="39">
        <v>1.0292397660818713</v>
      </c>
    </row>
    <row r="67" spans="1:28">
      <c r="A67" s="168"/>
      <c r="B67" s="12"/>
      <c r="C67" s="12" t="s">
        <v>29</v>
      </c>
      <c r="D67" s="12"/>
      <c r="E67" s="12"/>
      <c r="F67" s="39">
        <v>0</v>
      </c>
      <c r="G67" s="39">
        <v>1.3051648351648351</v>
      </c>
      <c r="H67" s="39">
        <v>4.5999999999999996</v>
      </c>
      <c r="I67" s="39">
        <v>0</v>
      </c>
      <c r="J67" s="39">
        <v>1</v>
      </c>
      <c r="K67" s="39">
        <v>0</v>
      </c>
      <c r="L67" s="39">
        <v>0.78947368421052633</v>
      </c>
      <c r="M67" s="39">
        <v>0</v>
      </c>
      <c r="N67" s="39">
        <v>0.54188059698712954</v>
      </c>
      <c r="O67" s="39">
        <v>1.1537077496465751</v>
      </c>
      <c r="P67" s="39">
        <v>0</v>
      </c>
      <c r="Q67" s="39">
        <v>1.7037037037037037</v>
      </c>
      <c r="R67" s="39">
        <v>0</v>
      </c>
      <c r="S67" s="39">
        <v>0</v>
      </c>
      <c r="T67" s="39">
        <v>2.4285714285714284</v>
      </c>
      <c r="U67" s="39">
        <v>0</v>
      </c>
      <c r="V67" s="39">
        <v>1.1165766498245526</v>
      </c>
    </row>
    <row r="68" spans="1:28">
      <c r="A68" s="168"/>
      <c r="B68" s="12"/>
      <c r="C68" s="12" t="s">
        <v>30</v>
      </c>
      <c r="D68" s="12"/>
      <c r="E68" s="12"/>
      <c r="F68" s="39">
        <v>1.0528195488721805</v>
      </c>
      <c r="G68" s="39">
        <v>1.0854581151832461</v>
      </c>
      <c r="H68" s="39">
        <v>1.0859419464997153</v>
      </c>
      <c r="I68" s="39">
        <v>1.0697153351698807</v>
      </c>
      <c r="J68" s="39">
        <v>1.7172995780590716</v>
      </c>
      <c r="K68" s="39">
        <v>0.81601231716705158</v>
      </c>
      <c r="L68" s="39">
        <v>0.98483281627025165</v>
      </c>
      <c r="M68" s="39">
        <v>1.2707423580786026</v>
      </c>
      <c r="N68" s="39">
        <v>1.1058092901527725</v>
      </c>
      <c r="O68" s="39">
        <v>1.2253133177248312</v>
      </c>
      <c r="P68" s="39">
        <v>0.80494766888677449</v>
      </c>
      <c r="Q68" s="39">
        <v>1.0788590604026846</v>
      </c>
      <c r="R68" s="39">
        <v>1.5387076135636597</v>
      </c>
      <c r="S68" s="39">
        <v>0.99300087489063871</v>
      </c>
      <c r="T68" s="39">
        <v>1.514762516046213</v>
      </c>
      <c r="U68" s="39">
        <v>0.9273021001615509</v>
      </c>
      <c r="V68" s="39">
        <v>1.0935999399265119</v>
      </c>
    </row>
    <row r="69" spans="1:28">
      <c r="A69" s="168"/>
      <c r="B69" s="13"/>
      <c r="C69" s="13" t="s">
        <v>31</v>
      </c>
      <c r="D69" s="13"/>
      <c r="E69" s="13"/>
      <c r="F69" s="40">
        <v>0</v>
      </c>
      <c r="G69" s="40">
        <v>1.5610165975103734</v>
      </c>
      <c r="H69" s="40">
        <v>0</v>
      </c>
      <c r="I69" s="40">
        <v>0</v>
      </c>
      <c r="J69" s="40">
        <v>0</v>
      </c>
      <c r="K69" s="40">
        <v>0</v>
      </c>
      <c r="L69" s="40">
        <v>0</v>
      </c>
      <c r="M69" s="40">
        <v>0</v>
      </c>
      <c r="N69" s="40">
        <v>0</v>
      </c>
      <c r="O69" s="40">
        <v>0</v>
      </c>
      <c r="P69" s="40">
        <v>0</v>
      </c>
      <c r="Q69" s="40">
        <v>0</v>
      </c>
      <c r="R69" s="40">
        <v>0</v>
      </c>
      <c r="S69" s="40">
        <v>0</v>
      </c>
      <c r="T69" s="40">
        <v>0</v>
      </c>
      <c r="U69" s="40">
        <v>0</v>
      </c>
      <c r="V69" s="40">
        <v>1.5610165975103734</v>
      </c>
    </row>
    <row r="70" spans="1:28">
      <c r="A70" s="168"/>
      <c r="B70" s="171" t="s">
        <v>33</v>
      </c>
      <c r="C70" s="171"/>
      <c r="D70" s="171"/>
      <c r="E70" s="17" t="s">
        <v>180</v>
      </c>
      <c r="F70" s="17"/>
      <c r="G70" s="17"/>
      <c r="H70" s="17"/>
      <c r="I70" s="17"/>
      <c r="J70" s="17"/>
      <c r="K70" s="17"/>
      <c r="L70" s="17"/>
      <c r="M70" s="17"/>
      <c r="N70" s="17"/>
      <c r="O70" s="17"/>
      <c r="P70" s="17"/>
      <c r="Q70" s="17"/>
      <c r="R70" s="17"/>
      <c r="S70" s="17"/>
      <c r="T70" s="17"/>
      <c r="U70" s="17"/>
      <c r="V70" s="25"/>
    </row>
    <row r="71" spans="1:28">
      <c r="A71" s="168"/>
      <c r="B71" s="140"/>
      <c r="C71" s="140"/>
      <c r="D71" s="140"/>
      <c r="E71" s="167" t="s">
        <v>200</v>
      </c>
      <c r="F71" s="167"/>
      <c r="G71" s="167"/>
      <c r="H71" s="167"/>
      <c r="I71" s="167"/>
      <c r="J71" s="167"/>
      <c r="K71" s="167"/>
      <c r="L71" s="167"/>
      <c r="M71" s="167"/>
      <c r="N71" s="167"/>
      <c r="O71" s="167"/>
      <c r="P71" s="167"/>
      <c r="Q71" s="167"/>
      <c r="R71" s="167"/>
      <c r="S71" s="167"/>
      <c r="T71" s="167"/>
      <c r="U71" s="167"/>
      <c r="V71" s="167"/>
      <c r="W71" s="157"/>
      <c r="X71" s="157"/>
      <c r="Y71" s="157"/>
      <c r="Z71" s="157"/>
      <c r="AA71" s="157"/>
      <c r="AB71" s="157"/>
    </row>
    <row r="72" spans="1:28">
      <c r="A72" s="168"/>
      <c r="E72" s="180" t="s">
        <v>32</v>
      </c>
      <c r="F72" s="180"/>
      <c r="G72" s="180"/>
      <c r="H72" s="180"/>
      <c r="I72" s="180"/>
      <c r="J72" s="180"/>
      <c r="K72" s="180"/>
      <c r="L72" s="180"/>
      <c r="M72" s="180"/>
      <c r="N72" s="180"/>
      <c r="O72" s="180"/>
      <c r="P72" s="180"/>
    </row>
  </sheetData>
  <mergeCells count="10">
    <mergeCell ref="A1:A36"/>
    <mergeCell ref="A37:A72"/>
    <mergeCell ref="E72:P72"/>
    <mergeCell ref="B1:E1"/>
    <mergeCell ref="B5:E5"/>
    <mergeCell ref="B30:E30"/>
    <mergeCell ref="B49:E49"/>
    <mergeCell ref="B60:E60"/>
    <mergeCell ref="B70:D70"/>
    <mergeCell ref="E71:V71"/>
  </mergeCells>
  <hyperlinks>
    <hyperlink ref="E71:V71" location="Leer!Druckbereich" display="Ab 2024 gelten für die Schularten des Sek-I-Bereichs neue Bezeichnungen bzw. Zusätze. Zudem kommt es bei den Hauptschulen, Schularten mit zwei Bildungsgängen und Schularten mit drei Bildungsgängen zu Neuzuordnungen." xr:uid="{CEE38E12-25CE-4BA6-B924-FA3BFA582359}"/>
  </hyperlinks>
  <printOptions verticalCentered="1"/>
  <pageMargins left="0.23622047244094491" right="0.23622047244094491" top="0.74803149606299213" bottom="0.74803149606299213" header="0.31496062992125984" footer="0.31496062992125984"/>
  <pageSetup paperSize="9" scale="99" orientation="landscape" r:id="rId1"/>
  <rowBreaks count="1" manualBreakCount="1">
    <brk id="36"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21"/>
  <dimension ref="A1:AB73"/>
  <sheetViews>
    <sheetView view="pageBreakPreview" topLeftCell="A56" zoomScale="140" zoomScaleNormal="100" zoomScaleSheetLayoutView="140" workbookViewId="0">
      <selection activeCell="J27" sqref="J27"/>
    </sheetView>
  </sheetViews>
  <sheetFormatPr baseColWidth="10" defaultRowHeight="12.75"/>
  <cols>
    <col min="1" max="1" width="2.7109375" customWidth="1"/>
    <col min="2" max="2" width="3.7109375" customWidth="1"/>
    <col min="3" max="4" width="2.7109375" customWidth="1"/>
    <col min="5" max="5" width="27.28515625" customWidth="1"/>
    <col min="6" max="18" width="9.7109375" hidden="1" customWidth="1"/>
    <col min="19" max="28" width="9.7109375" customWidth="1"/>
  </cols>
  <sheetData>
    <row r="1" spans="1:28" ht="13.5">
      <c r="A1" s="168">
        <v>81</v>
      </c>
      <c r="B1" s="169" t="s">
        <v>0</v>
      </c>
      <c r="C1" s="169"/>
      <c r="D1" s="169"/>
      <c r="E1" s="169"/>
    </row>
    <row r="2" spans="1:28" ht="13.5">
      <c r="A2" s="168"/>
      <c r="B2" s="4" t="s">
        <v>72</v>
      </c>
      <c r="C2" s="4"/>
      <c r="D2" s="4" t="s">
        <v>73</v>
      </c>
      <c r="E2" s="4"/>
    </row>
    <row r="3" spans="1:28" ht="13.5">
      <c r="A3" s="168"/>
      <c r="B3" s="5" t="s">
        <v>75</v>
      </c>
      <c r="C3" s="4"/>
      <c r="D3" s="4" t="s">
        <v>185</v>
      </c>
      <c r="E3" s="4"/>
    </row>
    <row r="4" spans="1:28" ht="10.5" customHeight="1">
      <c r="A4" s="168"/>
    </row>
    <row r="5" spans="1:28" s="6" customFormat="1" ht="18.75" customHeight="1">
      <c r="A5" s="168"/>
      <c r="B5" s="170" t="s">
        <v>126</v>
      </c>
      <c r="C5" s="170"/>
      <c r="D5" s="170"/>
      <c r="E5" s="170"/>
      <c r="F5" s="8">
        <v>2002</v>
      </c>
      <c r="G5" s="8">
        <v>2003</v>
      </c>
      <c r="H5" s="8">
        <v>2004</v>
      </c>
      <c r="I5" s="8">
        <v>2005</v>
      </c>
      <c r="J5" s="8">
        <v>2006</v>
      </c>
      <c r="K5" s="8">
        <v>2007</v>
      </c>
      <c r="L5" s="8">
        <v>2008</v>
      </c>
      <c r="M5" s="8">
        <v>2009</v>
      </c>
      <c r="N5" s="8">
        <v>2010</v>
      </c>
      <c r="O5" s="8">
        <v>2011</v>
      </c>
      <c r="P5" s="8">
        <v>2012</v>
      </c>
      <c r="Q5" s="8">
        <v>2013</v>
      </c>
      <c r="R5" s="8">
        <v>2014</v>
      </c>
      <c r="S5" s="8">
        <v>2015</v>
      </c>
      <c r="T5" s="8">
        <v>2016</v>
      </c>
      <c r="U5" s="8">
        <v>2017</v>
      </c>
      <c r="V5" s="8">
        <v>2018</v>
      </c>
      <c r="W5" s="8">
        <v>2019</v>
      </c>
      <c r="X5" s="8">
        <v>2020</v>
      </c>
      <c r="Y5" s="8">
        <v>2021</v>
      </c>
      <c r="Z5" s="8">
        <v>2022</v>
      </c>
      <c r="AA5" s="8">
        <v>2023</v>
      </c>
      <c r="AB5" s="8">
        <v>2024</v>
      </c>
    </row>
    <row r="6" spans="1:28" ht="13.5">
      <c r="A6" s="168"/>
      <c r="B6" s="9" t="s">
        <v>120</v>
      </c>
      <c r="C6" s="9"/>
      <c r="D6" s="9"/>
      <c r="E6" s="16"/>
      <c r="F6" s="52" t="s">
        <v>55</v>
      </c>
      <c r="G6" s="52" t="s">
        <v>55</v>
      </c>
      <c r="H6" s="52" t="s">
        <v>55</v>
      </c>
      <c r="I6" s="52" t="s">
        <v>55</v>
      </c>
      <c r="J6" s="52" t="s">
        <v>55</v>
      </c>
      <c r="K6" s="52" t="s">
        <v>55</v>
      </c>
      <c r="L6" s="52" t="s">
        <v>55</v>
      </c>
      <c r="M6" s="52" t="s">
        <v>55</v>
      </c>
      <c r="N6" s="52" t="s">
        <v>55</v>
      </c>
      <c r="O6" s="52" t="s">
        <v>55</v>
      </c>
      <c r="P6" s="52" t="s">
        <v>55</v>
      </c>
      <c r="Q6" s="52" t="s">
        <v>55</v>
      </c>
      <c r="R6" s="52" t="s">
        <v>55</v>
      </c>
      <c r="S6" s="52" t="s">
        <v>55</v>
      </c>
      <c r="T6" s="52" t="s">
        <v>55</v>
      </c>
      <c r="U6" s="52" t="s">
        <v>55</v>
      </c>
      <c r="V6" s="52" t="s">
        <v>55</v>
      </c>
      <c r="W6" s="52" t="s">
        <v>55</v>
      </c>
      <c r="X6" s="52" t="s">
        <v>55</v>
      </c>
      <c r="Y6" s="52" t="s">
        <v>55</v>
      </c>
      <c r="Z6" s="52" t="s">
        <v>55</v>
      </c>
      <c r="AA6" s="52" t="s">
        <v>55</v>
      </c>
      <c r="AB6" s="52" t="s">
        <v>55</v>
      </c>
    </row>
    <row r="7" spans="1:28" ht="13.5">
      <c r="A7" s="168"/>
      <c r="B7" s="10" t="s">
        <v>119</v>
      </c>
      <c r="C7" s="10"/>
      <c r="D7" s="10"/>
      <c r="E7" s="9"/>
      <c r="F7" s="65" t="s">
        <v>55</v>
      </c>
      <c r="G7" s="65" t="s">
        <v>55</v>
      </c>
      <c r="H7" s="65" t="s">
        <v>55</v>
      </c>
      <c r="I7" s="65" t="s">
        <v>55</v>
      </c>
      <c r="J7" s="65" t="s">
        <v>55</v>
      </c>
      <c r="K7" s="65" t="s">
        <v>55</v>
      </c>
      <c r="L7" s="65" t="s">
        <v>55</v>
      </c>
      <c r="M7" s="65" t="s">
        <v>55</v>
      </c>
      <c r="N7" s="65" t="s">
        <v>55</v>
      </c>
      <c r="O7" s="65" t="s">
        <v>55</v>
      </c>
      <c r="P7" s="65" t="s">
        <v>55</v>
      </c>
      <c r="Q7" s="65" t="s">
        <v>55</v>
      </c>
      <c r="R7" s="65" t="s">
        <v>55</v>
      </c>
      <c r="S7" s="65" t="s">
        <v>55</v>
      </c>
      <c r="T7" s="65" t="s">
        <v>55</v>
      </c>
      <c r="U7" s="65" t="s">
        <v>55</v>
      </c>
      <c r="V7" s="65" t="s">
        <v>55</v>
      </c>
      <c r="W7" s="65" t="s">
        <v>55</v>
      </c>
      <c r="X7" s="65" t="s">
        <v>55</v>
      </c>
      <c r="Y7" s="65" t="s">
        <v>55</v>
      </c>
      <c r="Z7" s="65" t="s">
        <v>55</v>
      </c>
      <c r="AA7" s="65" t="s">
        <v>55</v>
      </c>
      <c r="AB7" s="65" t="s">
        <v>55</v>
      </c>
    </row>
    <row r="8" spans="1:28" ht="13.5">
      <c r="A8" s="168"/>
      <c r="B8" s="11" t="s">
        <v>3</v>
      </c>
      <c r="C8" s="11"/>
      <c r="D8" s="11"/>
      <c r="E8" s="11"/>
      <c r="F8" s="57">
        <v>36.24753515242665</v>
      </c>
      <c r="G8" s="57">
        <v>36.614135716147992</v>
      </c>
      <c r="H8" s="57">
        <v>37.131883126160879</v>
      </c>
      <c r="I8" s="57">
        <v>37.652738106725856</v>
      </c>
      <c r="J8" s="57">
        <v>37.506709280765101</v>
      </c>
      <c r="K8" s="57">
        <v>37.701947523017303</v>
      </c>
      <c r="L8" s="57">
        <v>38.235628317260968</v>
      </c>
      <c r="M8" s="57">
        <v>38.257358490566041</v>
      </c>
      <c r="N8" s="57">
        <v>38.459513444302175</v>
      </c>
      <c r="O8" s="57">
        <v>38.800308479941847</v>
      </c>
      <c r="P8" s="57">
        <v>39.087779365378914</v>
      </c>
      <c r="Q8" s="57">
        <v>39.678926799523268</v>
      </c>
      <c r="R8" s="57">
        <v>40.14298039103916</v>
      </c>
      <c r="S8" s="57">
        <v>40.044878423525269</v>
      </c>
      <c r="T8" s="57">
        <v>40.047757566835742</v>
      </c>
      <c r="U8" s="57">
        <v>40.330781037071695</v>
      </c>
      <c r="V8" s="57">
        <v>40.389721721200445</v>
      </c>
      <c r="W8" s="57">
        <v>40.526099912305739</v>
      </c>
      <c r="X8" s="57">
        <v>39.983995082190631</v>
      </c>
      <c r="Y8" s="57">
        <v>40.127231487696662</v>
      </c>
      <c r="Z8" s="57">
        <v>40.784588430938435</v>
      </c>
      <c r="AA8" s="57">
        <v>41.743914313260561</v>
      </c>
      <c r="AB8" s="57">
        <v>41.786652633306744</v>
      </c>
    </row>
    <row r="9" spans="1:28" ht="13.5">
      <c r="A9" s="168"/>
      <c r="B9" s="12"/>
      <c r="C9" s="12" t="s">
        <v>4</v>
      </c>
      <c r="D9" s="12"/>
      <c r="E9" s="12"/>
      <c r="F9" s="55">
        <v>32.392614396574793</v>
      </c>
      <c r="G9" s="55">
        <v>32.4601059560122</v>
      </c>
      <c r="H9" s="55">
        <v>33.837732436556827</v>
      </c>
      <c r="I9" s="55">
        <v>33.865865807207733</v>
      </c>
      <c r="J9" s="55">
        <v>33.972210655990146</v>
      </c>
      <c r="K9" s="55">
        <v>34.03441621100032</v>
      </c>
      <c r="L9" s="55">
        <v>34.605690787291898</v>
      </c>
      <c r="M9" s="55">
        <v>33.690253671562083</v>
      </c>
      <c r="N9" s="55">
        <v>33.748069296597791</v>
      </c>
      <c r="O9" s="55">
        <v>34.009731317937138</v>
      </c>
      <c r="P9" s="55">
        <v>33.175268900410124</v>
      </c>
      <c r="Q9" s="55">
        <v>34.130286095587621</v>
      </c>
      <c r="R9" s="55">
        <v>35.026095711060947</v>
      </c>
      <c r="S9" s="55">
        <v>34.54750099009901</v>
      </c>
      <c r="T9" s="55">
        <v>34.999642780976757</v>
      </c>
      <c r="U9" s="55">
        <v>35.780301142548005</v>
      </c>
      <c r="V9" s="55">
        <v>36.065341465547931</v>
      </c>
      <c r="W9" s="55">
        <v>36.069749304727708</v>
      </c>
      <c r="X9" s="55">
        <v>36.260019118318951</v>
      </c>
      <c r="Y9" s="55">
        <v>36.613463852961779</v>
      </c>
      <c r="Z9" s="55">
        <v>35.978490222445629</v>
      </c>
      <c r="AA9" s="55">
        <v>36.696787007625048</v>
      </c>
      <c r="AB9" s="55">
        <v>38.336918382334602</v>
      </c>
    </row>
    <row r="10" spans="1:28" ht="13.5">
      <c r="A10" s="168"/>
      <c r="B10" s="13"/>
      <c r="C10" s="13" t="s">
        <v>5</v>
      </c>
      <c r="D10" s="13"/>
      <c r="E10" s="13"/>
      <c r="F10" s="79">
        <v>39.953611848539893</v>
      </c>
      <c r="G10" s="79">
        <v>40.456182857142856</v>
      </c>
      <c r="H10" s="79">
        <v>39.952565679641509</v>
      </c>
      <c r="I10" s="79">
        <v>40.730396264292573</v>
      </c>
      <c r="J10" s="79">
        <v>40.273170272006858</v>
      </c>
      <c r="K10" s="79">
        <v>40.441360636317484</v>
      </c>
      <c r="L10" s="79">
        <v>40.79591922414879</v>
      </c>
      <c r="M10" s="79">
        <v>39.507751312071051</v>
      </c>
      <c r="N10" s="79">
        <v>39.818859666896302</v>
      </c>
      <c r="O10" s="79">
        <v>40.213465649836095</v>
      </c>
      <c r="P10" s="79">
        <v>41.014811750103433</v>
      </c>
      <c r="Q10" s="79">
        <v>41.257409713574098</v>
      </c>
      <c r="R10" s="79">
        <v>41.357569447336637</v>
      </c>
      <c r="S10" s="55">
        <v>41.273161292466654</v>
      </c>
      <c r="T10" s="55">
        <v>40.976182307023237</v>
      </c>
      <c r="U10" s="55">
        <v>40.878080891610679</v>
      </c>
      <c r="V10" s="55">
        <v>40.852713009080475</v>
      </c>
      <c r="W10" s="55">
        <v>41.019591234933657</v>
      </c>
      <c r="X10" s="55">
        <v>40.579941319335859</v>
      </c>
      <c r="Y10" s="55">
        <v>40.665971054401211</v>
      </c>
      <c r="Z10" s="55">
        <v>41.86373862789263</v>
      </c>
      <c r="AA10" s="55">
        <v>42.939504488662926</v>
      </c>
      <c r="AB10" s="55">
        <v>42.245330814729321</v>
      </c>
    </row>
    <row r="11" spans="1:28" ht="13.5" hidden="1">
      <c r="A11" s="168"/>
      <c r="B11" s="13"/>
      <c r="C11" s="13"/>
      <c r="D11" s="13"/>
      <c r="E11" s="13"/>
      <c r="F11" s="55"/>
      <c r="G11" s="55"/>
      <c r="H11" s="55"/>
      <c r="I11" s="55"/>
      <c r="J11" s="142"/>
      <c r="K11" s="142"/>
      <c r="L11" s="142"/>
      <c r="M11" s="142"/>
      <c r="N11" s="142"/>
      <c r="O11" s="142"/>
      <c r="P11" s="142"/>
      <c r="Q11" s="142"/>
      <c r="R11" s="142"/>
      <c r="S11" s="142"/>
      <c r="T11" s="142"/>
      <c r="U11" s="142"/>
      <c r="V11" s="142"/>
      <c r="W11" s="142"/>
      <c r="X11" s="142"/>
      <c r="Y11" s="142"/>
      <c r="Z11" s="142"/>
      <c r="AA11" s="142"/>
      <c r="AB11" s="142"/>
    </row>
    <row r="12" spans="1:28" ht="13.5">
      <c r="A12" s="168"/>
      <c r="B12" s="11" t="s">
        <v>6</v>
      </c>
      <c r="C12" s="11"/>
      <c r="D12" s="11"/>
      <c r="E12" s="11"/>
      <c r="F12" s="57">
        <v>26.816964285714285</v>
      </c>
      <c r="G12" s="57">
        <v>26.934530575130712</v>
      </c>
      <c r="H12" s="57">
        <v>27.480676938620864</v>
      </c>
      <c r="I12" s="57">
        <v>29.016475530117045</v>
      </c>
      <c r="J12" s="57">
        <v>29.558466211085801</v>
      </c>
      <c r="K12" s="57">
        <v>31.519716088328074</v>
      </c>
      <c r="L12" s="57">
        <v>30.373933281613652</v>
      </c>
      <c r="M12" s="57">
        <v>30.182940949440372</v>
      </c>
      <c r="N12" s="57">
        <v>30.098417599382479</v>
      </c>
      <c r="O12" s="57">
        <v>29.892366240074402</v>
      </c>
      <c r="P12" s="57">
        <v>31.180898421691623</v>
      </c>
      <c r="Q12" s="57">
        <v>31.481511914543962</v>
      </c>
      <c r="R12" s="57">
        <v>31.869247311827959</v>
      </c>
      <c r="S12" s="57">
        <v>31.991827711502893</v>
      </c>
      <c r="T12" s="57">
        <v>32.483060579959798</v>
      </c>
      <c r="U12" s="57">
        <v>32.389680306905369</v>
      </c>
      <c r="V12" s="57">
        <v>32.154559149313243</v>
      </c>
      <c r="W12" s="57">
        <v>32.533855937287527</v>
      </c>
      <c r="X12" s="57">
        <v>32.02633201232937</v>
      </c>
      <c r="Y12" s="57">
        <v>31.731001727115718</v>
      </c>
      <c r="Z12" s="57">
        <v>31.801197092774689</v>
      </c>
      <c r="AA12" s="57">
        <v>31.627712854757931</v>
      </c>
      <c r="AB12" s="57">
        <v>31.334176148335441</v>
      </c>
    </row>
    <row r="13" spans="1:28" ht="13.5">
      <c r="A13" s="168"/>
      <c r="B13" s="12"/>
      <c r="C13" s="12" t="s">
        <v>7</v>
      </c>
      <c r="D13" s="12"/>
      <c r="E13" s="12"/>
      <c r="F13" s="55">
        <v>24.882194244604317</v>
      </c>
      <c r="G13" s="55">
        <v>23.975675675675674</v>
      </c>
      <c r="H13" s="55">
        <v>24.403056351480419</v>
      </c>
      <c r="I13" s="55">
        <v>26.947130503144653</v>
      </c>
      <c r="J13" s="55">
        <v>28.754569190600524</v>
      </c>
      <c r="K13" s="55">
        <v>30.878651685393258</v>
      </c>
      <c r="L13" s="55">
        <v>29.049886621315192</v>
      </c>
      <c r="M13" s="55">
        <v>29.816283924843425</v>
      </c>
      <c r="N13" s="55">
        <v>28.95808383233533</v>
      </c>
      <c r="O13" s="55">
        <v>25.846969130439664</v>
      </c>
      <c r="P13" s="55">
        <v>30.065573770491802</v>
      </c>
      <c r="Q13" s="55">
        <v>28.681978798586574</v>
      </c>
      <c r="R13" s="55">
        <v>29.441016333938293</v>
      </c>
      <c r="S13" s="55">
        <v>30.195433388149986</v>
      </c>
      <c r="T13" s="55">
        <v>30.713191990577144</v>
      </c>
      <c r="U13" s="55">
        <v>31.813154246100524</v>
      </c>
      <c r="V13" s="55">
        <v>30.602175732217574</v>
      </c>
      <c r="W13" s="55">
        <v>30.38522041338943</v>
      </c>
      <c r="X13" s="55">
        <v>30.218074656188605</v>
      </c>
      <c r="Y13" s="55">
        <v>30.287292817679557</v>
      </c>
      <c r="Z13" s="55">
        <v>31.153429602888085</v>
      </c>
      <c r="AA13" s="55">
        <v>31.123499142367066</v>
      </c>
      <c r="AB13" s="55">
        <v>29.755517826825127</v>
      </c>
    </row>
    <row r="14" spans="1:28" ht="13.5">
      <c r="A14" s="168"/>
      <c r="B14" s="13"/>
      <c r="C14" s="13" t="s">
        <v>8</v>
      </c>
      <c r="D14" s="13"/>
      <c r="E14" s="13"/>
      <c r="F14" s="55">
        <v>27.455760095011875</v>
      </c>
      <c r="G14" s="55">
        <v>27.933110367892976</v>
      </c>
      <c r="H14" s="55">
        <v>28.587225274725274</v>
      </c>
      <c r="I14" s="55">
        <v>29.357664233576642</v>
      </c>
      <c r="J14" s="55">
        <v>29.695246557085738</v>
      </c>
      <c r="K14" s="55">
        <v>31.656145384983262</v>
      </c>
      <c r="L14" s="55">
        <v>30.647168928404305</v>
      </c>
      <c r="M14" s="55">
        <v>30.266098484848484</v>
      </c>
      <c r="N14" s="55">
        <v>30.371770334928229</v>
      </c>
      <c r="O14" s="55">
        <v>30.996960486322187</v>
      </c>
      <c r="P14" s="55">
        <v>31.499479708636837</v>
      </c>
      <c r="Q14" s="55">
        <v>32.329764453961459</v>
      </c>
      <c r="R14" s="55">
        <v>32.623449830890642</v>
      </c>
      <c r="S14" s="55">
        <v>32.549575070821533</v>
      </c>
      <c r="T14" s="55">
        <v>33.053530751708429</v>
      </c>
      <c r="U14" s="55">
        <v>32.577727529677787</v>
      </c>
      <c r="V14" s="55">
        <v>32.571669477234401</v>
      </c>
      <c r="W14" s="55">
        <v>33.135135135135137</v>
      </c>
      <c r="X14" s="55">
        <v>32.548694665153235</v>
      </c>
      <c r="Y14" s="55">
        <v>32.173152848279749</v>
      </c>
      <c r="Z14" s="55">
        <v>32.002240896358543</v>
      </c>
      <c r="AA14" s="55">
        <v>31.789851075565362</v>
      </c>
      <c r="AB14" s="55">
        <v>31.855381165919283</v>
      </c>
    </row>
    <row r="15" spans="1:28" ht="13.5">
      <c r="A15" s="168"/>
      <c r="B15" s="11" t="s">
        <v>123</v>
      </c>
      <c r="C15" s="11"/>
      <c r="D15" s="11"/>
      <c r="E15" s="11"/>
      <c r="F15" s="57">
        <v>27.504516102240402</v>
      </c>
      <c r="G15" s="57">
        <v>27.605549596927656</v>
      </c>
      <c r="H15" s="57">
        <v>27.825931019231966</v>
      </c>
      <c r="I15" s="57">
        <v>28.144703251333219</v>
      </c>
      <c r="J15" s="57">
        <v>28.680909411984683</v>
      </c>
      <c r="K15" s="57">
        <v>28.964277420035891</v>
      </c>
      <c r="L15" s="57">
        <v>29.149537663751548</v>
      </c>
      <c r="M15" s="57">
        <v>29.529778761384069</v>
      </c>
      <c r="N15" s="57">
        <v>29.604190646423636</v>
      </c>
      <c r="O15" s="57">
        <v>29.70934563834329</v>
      </c>
      <c r="P15" s="57">
        <v>29.943023724111185</v>
      </c>
      <c r="Q15" s="57">
        <v>30.102409413382972</v>
      </c>
      <c r="R15" s="57">
        <v>30.283443215826644</v>
      </c>
      <c r="S15" s="57">
        <v>30.58681556207738</v>
      </c>
      <c r="T15" s="57">
        <v>30.587660360953134</v>
      </c>
      <c r="U15" s="57">
        <v>31.026836446265868</v>
      </c>
      <c r="V15" s="57">
        <v>31.295489442074782</v>
      </c>
      <c r="W15" s="57">
        <v>31.829286805349689</v>
      </c>
      <c r="X15" s="57">
        <v>31.67786364027031</v>
      </c>
      <c r="Y15" s="57">
        <v>31.712111938014544</v>
      </c>
      <c r="Z15" s="57">
        <v>31.764367667480791</v>
      </c>
      <c r="AA15" s="57">
        <v>32.137633594507641</v>
      </c>
      <c r="AB15" s="57">
        <v>32.313439590504885</v>
      </c>
    </row>
    <row r="16" spans="1:28" ht="13.5">
      <c r="A16" s="168"/>
      <c r="B16" s="12"/>
      <c r="C16" s="12" t="s">
        <v>9</v>
      </c>
      <c r="D16" s="12"/>
      <c r="E16" s="12"/>
      <c r="F16" s="55">
        <v>27.445427439562131</v>
      </c>
      <c r="G16" s="55">
        <v>27.534868259911125</v>
      </c>
      <c r="H16" s="55">
        <v>27.774047465965953</v>
      </c>
      <c r="I16" s="55">
        <v>28.080431989443344</v>
      </c>
      <c r="J16" s="55">
        <v>28.633240807422581</v>
      </c>
      <c r="K16" s="55">
        <v>28.908869901477132</v>
      </c>
      <c r="L16" s="55">
        <v>29.088233804386366</v>
      </c>
      <c r="M16" s="55">
        <v>29.479334462195393</v>
      </c>
      <c r="N16" s="55">
        <v>29.533444867089976</v>
      </c>
      <c r="O16" s="55">
        <v>29.648439558188052</v>
      </c>
      <c r="P16" s="55">
        <v>29.889859159200132</v>
      </c>
      <c r="Q16" s="55">
        <v>30.061388226664221</v>
      </c>
      <c r="R16" s="55">
        <v>30.253096809176864</v>
      </c>
      <c r="S16" s="55">
        <v>30.547990461342788</v>
      </c>
      <c r="T16" s="55">
        <v>30.542077970137143</v>
      </c>
      <c r="U16" s="55">
        <v>30.953802691030063</v>
      </c>
      <c r="V16" s="55">
        <v>31.237014829371294</v>
      </c>
      <c r="W16" s="55">
        <v>31.79240776775843</v>
      </c>
      <c r="X16" s="55">
        <v>31.624832250196242</v>
      </c>
      <c r="Y16" s="55">
        <v>31.660046721552444</v>
      </c>
      <c r="Z16" s="55">
        <v>31.713374396105138</v>
      </c>
      <c r="AA16" s="55">
        <v>32.105335716883843</v>
      </c>
      <c r="AB16" s="55">
        <v>32.277893766085533</v>
      </c>
    </row>
    <row r="17" spans="1:28" ht="13.5">
      <c r="A17" s="168"/>
      <c r="B17" s="12"/>
      <c r="C17" s="12" t="s">
        <v>187</v>
      </c>
      <c r="D17" s="12"/>
      <c r="E17" s="12"/>
      <c r="F17" s="55">
        <v>30.018915510718788</v>
      </c>
      <c r="G17" s="55">
        <v>31.420050761421319</v>
      </c>
      <c r="H17" s="55">
        <v>29.401544401544403</v>
      </c>
      <c r="I17" s="55">
        <v>30.563291139240505</v>
      </c>
      <c r="J17" s="55">
        <v>30.114345114345113</v>
      </c>
      <c r="K17" s="55">
        <v>32.739669421487605</v>
      </c>
      <c r="L17" s="55">
        <v>33.190677966101696</v>
      </c>
      <c r="M17" s="55">
        <v>33.455516014234874</v>
      </c>
      <c r="N17" s="55">
        <v>35.595611285266457</v>
      </c>
      <c r="O17" s="55">
        <v>34.300611313752654</v>
      </c>
      <c r="P17" s="55">
        <v>32.246301131418626</v>
      </c>
      <c r="Q17" s="55">
        <v>30.427133015368309</v>
      </c>
      <c r="R17" s="55">
        <v>29.959952153110049</v>
      </c>
      <c r="S17" s="55">
        <v>30.612708522899606</v>
      </c>
      <c r="T17" s="55">
        <v>30.566496410822747</v>
      </c>
      <c r="U17" s="55">
        <v>32.051378260600401</v>
      </c>
      <c r="V17" s="55">
        <v>31.736395101945845</v>
      </c>
      <c r="W17" s="55">
        <v>31.903489315467439</v>
      </c>
      <c r="X17" s="55">
        <v>32.129805029356376</v>
      </c>
      <c r="Y17" s="55">
        <v>32.031315696668315</v>
      </c>
      <c r="Z17" s="55">
        <v>32.010703189465559</v>
      </c>
      <c r="AA17" s="55">
        <v>31.738336471730285</v>
      </c>
      <c r="AB17" s="55">
        <v>32.084372952187842</v>
      </c>
    </row>
    <row r="18" spans="1:28" ht="13.5">
      <c r="A18" s="168"/>
      <c r="B18" s="13"/>
      <c r="C18" s="13" t="s">
        <v>11</v>
      </c>
      <c r="D18" s="13"/>
      <c r="E18" s="13"/>
      <c r="F18" s="55">
        <v>35.406862745098039</v>
      </c>
      <c r="G18" s="55">
        <v>36.13221153846154</v>
      </c>
      <c r="H18" s="55">
        <v>35.224343675417664</v>
      </c>
      <c r="I18" s="55">
        <v>37.506928406466514</v>
      </c>
      <c r="J18" s="55">
        <v>35.512820512820511</v>
      </c>
      <c r="K18" s="55">
        <v>35.360128617363344</v>
      </c>
      <c r="L18" s="55">
        <v>36.103813559322035</v>
      </c>
      <c r="M18" s="55">
        <v>34.314109165808446</v>
      </c>
      <c r="N18" s="55">
        <v>35.455262615859937</v>
      </c>
      <c r="O18" s="55">
        <v>34.279014227642278</v>
      </c>
      <c r="P18" s="55">
        <v>34.258349802371541</v>
      </c>
      <c r="Q18" s="55">
        <v>34.820436507936506</v>
      </c>
      <c r="R18" s="55">
        <v>35.116533864541836</v>
      </c>
      <c r="S18" s="55">
        <v>35.413127413127413</v>
      </c>
      <c r="T18" s="55">
        <v>36.415749525616697</v>
      </c>
      <c r="U18" s="55">
        <v>36.542000000000002</v>
      </c>
      <c r="V18" s="55">
        <v>36.966078971533513</v>
      </c>
      <c r="W18" s="55">
        <v>36.042007136485282</v>
      </c>
      <c r="X18" s="55">
        <v>36.588158516489926</v>
      </c>
      <c r="Y18" s="55">
        <v>36.927784406977821</v>
      </c>
      <c r="Z18" s="55">
        <v>37.269377815020427</v>
      </c>
      <c r="AA18" s="55">
        <v>37.621400285730445</v>
      </c>
      <c r="AB18" s="55">
        <v>37.624871575342468</v>
      </c>
    </row>
    <row r="19" spans="1:28" ht="13.5">
      <c r="A19" s="168"/>
      <c r="B19" s="11" t="s">
        <v>124</v>
      </c>
      <c r="C19" s="11"/>
      <c r="D19" s="11"/>
      <c r="E19" s="11"/>
      <c r="F19" s="57">
        <v>35.040336235709972</v>
      </c>
      <c r="G19" s="57">
        <v>35.436173437200551</v>
      </c>
      <c r="H19" s="57">
        <v>35.704058786103865</v>
      </c>
      <c r="I19" s="57">
        <v>35.738022318971126</v>
      </c>
      <c r="J19" s="57">
        <v>36.216070149768932</v>
      </c>
      <c r="K19" s="57">
        <v>36.560409167885055</v>
      </c>
      <c r="L19" s="57">
        <v>36.627074330228815</v>
      </c>
      <c r="M19" s="57">
        <v>37.048194302076361</v>
      </c>
      <c r="N19" s="57">
        <v>37.521354824436649</v>
      </c>
      <c r="O19" s="57">
        <v>37.80811808610045</v>
      </c>
      <c r="P19" s="57">
        <v>37.914512555722318</v>
      </c>
      <c r="Q19" s="57">
        <v>38.298901676370775</v>
      </c>
      <c r="R19" s="57">
        <v>38.474887378850418</v>
      </c>
      <c r="S19" s="57">
        <v>38.559703685737233</v>
      </c>
      <c r="T19" s="57">
        <v>38.347877307797958</v>
      </c>
      <c r="U19" s="57">
        <v>38.816109670102527</v>
      </c>
      <c r="V19" s="57">
        <v>39.056269926429927</v>
      </c>
      <c r="W19" s="57">
        <v>39.242028206771657</v>
      </c>
      <c r="X19" s="57">
        <v>39.012565167843675</v>
      </c>
      <c r="Y19" s="57">
        <v>38.95666264487275</v>
      </c>
      <c r="Z19" s="57">
        <v>38.624751815007755</v>
      </c>
      <c r="AA19" s="57">
        <v>39.016571572239414</v>
      </c>
      <c r="AB19" s="57">
        <v>39.231618232242823</v>
      </c>
    </row>
    <row r="20" spans="1:28" ht="13.5">
      <c r="A20" s="168"/>
      <c r="B20" s="12"/>
      <c r="C20" s="12" t="s">
        <v>12</v>
      </c>
      <c r="D20" s="12"/>
      <c r="E20" s="12"/>
      <c r="F20" s="55">
        <v>34.429250971459197</v>
      </c>
      <c r="G20" s="55">
        <v>35.687412414475311</v>
      </c>
      <c r="H20" s="55">
        <v>38.805795934795732</v>
      </c>
      <c r="I20" s="55">
        <v>37.848445595854919</v>
      </c>
      <c r="J20" s="55">
        <v>38.00577777777778</v>
      </c>
      <c r="K20" s="55">
        <v>37.877568867512025</v>
      </c>
      <c r="L20" s="55">
        <v>37.856054191363249</v>
      </c>
      <c r="M20" s="55">
        <v>37.717567835214894</v>
      </c>
      <c r="N20" s="55">
        <v>37.509960937499997</v>
      </c>
      <c r="O20" s="55">
        <v>38.411165583471167</v>
      </c>
      <c r="P20" s="55">
        <v>38.190133158698977</v>
      </c>
      <c r="Q20" s="55">
        <v>38.306724511930582</v>
      </c>
      <c r="R20" s="55">
        <v>37.94853253934496</v>
      </c>
      <c r="S20" s="55">
        <v>38.012841552990558</v>
      </c>
      <c r="T20" s="55">
        <v>38.399500303459433</v>
      </c>
      <c r="U20" s="55">
        <v>36.084017267900556</v>
      </c>
      <c r="V20" s="55">
        <v>36.472818657250393</v>
      </c>
      <c r="W20" s="55">
        <v>35.929792506480602</v>
      </c>
      <c r="X20" s="55">
        <v>35.752548032971433</v>
      </c>
      <c r="Y20" s="55">
        <v>35.462276237555244</v>
      </c>
      <c r="Z20" s="55">
        <v>35.297028689086666</v>
      </c>
      <c r="AA20" s="55">
        <v>35.5607997794502</v>
      </c>
      <c r="AB20" s="55">
        <v>35.617654958785792</v>
      </c>
    </row>
    <row r="21" spans="1:28" ht="13.5">
      <c r="A21" s="168"/>
      <c r="B21" s="12"/>
      <c r="C21" s="12" t="s">
        <v>13</v>
      </c>
      <c r="D21" s="12"/>
      <c r="E21" s="12"/>
      <c r="F21" s="55">
        <v>35.920172196886305</v>
      </c>
      <c r="G21" s="55">
        <v>36.440599976096571</v>
      </c>
      <c r="H21" s="55">
        <v>36.698065253369059</v>
      </c>
      <c r="I21" s="55">
        <v>36.461270077212106</v>
      </c>
      <c r="J21" s="55">
        <v>37.327283832126341</v>
      </c>
      <c r="K21" s="55">
        <v>37.643090466813391</v>
      </c>
      <c r="L21" s="55">
        <v>37.651417890258003</v>
      </c>
      <c r="M21" s="55">
        <v>38.043500979751798</v>
      </c>
      <c r="N21" s="55">
        <v>38.338181432810515</v>
      </c>
      <c r="O21" s="55">
        <v>38.928963561776065</v>
      </c>
      <c r="P21" s="55">
        <v>39.445160450432859</v>
      </c>
      <c r="Q21" s="55">
        <v>39.753325745180334</v>
      </c>
      <c r="R21" s="55">
        <v>39.581801746117591</v>
      </c>
      <c r="S21" s="55">
        <v>39.800580819638029</v>
      </c>
      <c r="T21" s="55">
        <v>39.177725830241812</v>
      </c>
      <c r="U21" s="55">
        <v>39.452809823801552</v>
      </c>
      <c r="V21" s="55">
        <v>39.741242725885549</v>
      </c>
      <c r="W21" s="55">
        <v>40.124674346531229</v>
      </c>
      <c r="X21" s="55">
        <v>40.266403938263238</v>
      </c>
      <c r="Y21" s="55">
        <v>40.511384719960667</v>
      </c>
      <c r="Z21" s="55">
        <v>39.640399593059399</v>
      </c>
      <c r="AA21" s="55">
        <v>40.009529057547006</v>
      </c>
      <c r="AB21" s="55">
        <v>42.282067054211169</v>
      </c>
    </row>
    <row r="22" spans="1:28" ht="13.5">
      <c r="A22" s="168"/>
      <c r="B22" s="12"/>
      <c r="C22" s="12" t="s">
        <v>188</v>
      </c>
      <c r="D22" s="12"/>
      <c r="E22" s="12"/>
      <c r="F22" s="55">
        <v>35.251416821304979</v>
      </c>
      <c r="G22" s="55">
        <v>35.373540265911736</v>
      </c>
      <c r="H22" s="55">
        <v>36.477209785368103</v>
      </c>
      <c r="I22" s="55">
        <v>36.673282064003971</v>
      </c>
      <c r="J22" s="55">
        <v>37.775111942792222</v>
      </c>
      <c r="K22" s="55">
        <v>38.473973355308338</v>
      </c>
      <c r="L22" s="55">
        <v>38.451159332116539</v>
      </c>
      <c r="M22" s="55">
        <v>38.967054991857701</v>
      </c>
      <c r="N22" s="55">
        <v>39.294317026324713</v>
      </c>
      <c r="O22" s="55">
        <v>39.088003483099534</v>
      </c>
      <c r="P22" s="55">
        <v>39.168323260576393</v>
      </c>
      <c r="Q22" s="55">
        <v>39.257452059996204</v>
      </c>
      <c r="R22" s="55">
        <v>39.919737022325705</v>
      </c>
      <c r="S22" s="55">
        <v>39.973948901059401</v>
      </c>
      <c r="T22" s="55">
        <v>40.030689684210529</v>
      </c>
      <c r="U22" s="55">
        <v>40.282281309998965</v>
      </c>
      <c r="V22" s="55">
        <v>40.352011368950173</v>
      </c>
      <c r="W22" s="55">
        <v>40.356727174355008</v>
      </c>
      <c r="X22" s="55">
        <v>39.787235393985689</v>
      </c>
      <c r="Y22" s="55">
        <v>39.416482324235282</v>
      </c>
      <c r="Z22" s="55">
        <v>39.020780315933266</v>
      </c>
      <c r="AA22" s="55">
        <v>38.826971645265544</v>
      </c>
      <c r="AB22" s="55">
        <v>37.907757858343885</v>
      </c>
    </row>
    <row r="23" spans="1:28" ht="13.5">
      <c r="A23" s="168"/>
      <c r="B23" s="12"/>
      <c r="C23" s="12" t="s">
        <v>15</v>
      </c>
      <c r="D23" s="12"/>
      <c r="E23" s="12"/>
      <c r="F23" s="55">
        <v>34.32299121580737</v>
      </c>
      <c r="G23" s="55">
        <v>34.445475638051043</v>
      </c>
      <c r="H23" s="55">
        <v>34.558772138829326</v>
      </c>
      <c r="I23" s="55">
        <v>34.327922275073377</v>
      </c>
      <c r="J23" s="55">
        <v>34.319869424185448</v>
      </c>
      <c r="K23" s="55">
        <v>34.43982853180357</v>
      </c>
      <c r="L23" s="55">
        <v>34.70115592939527</v>
      </c>
      <c r="M23" s="55">
        <v>35.005227960877427</v>
      </c>
      <c r="N23" s="55">
        <v>35.266783153513835</v>
      </c>
      <c r="O23" s="55">
        <v>35.411173029343075</v>
      </c>
      <c r="P23" s="55">
        <v>35.292117279500118</v>
      </c>
      <c r="Q23" s="55">
        <v>35.713085416931079</v>
      </c>
      <c r="R23" s="55">
        <v>35.90056355077337</v>
      </c>
      <c r="S23" s="55">
        <v>36.150922098119615</v>
      </c>
      <c r="T23" s="55">
        <v>36.1094653994654</v>
      </c>
      <c r="U23" s="55">
        <v>36.740279172088989</v>
      </c>
      <c r="V23" s="55">
        <v>37.081507730325683</v>
      </c>
      <c r="W23" s="55">
        <v>37.427825695159626</v>
      </c>
      <c r="X23" s="55">
        <v>37.610748709960085</v>
      </c>
      <c r="Y23" s="55">
        <v>37.878283141374929</v>
      </c>
      <c r="Z23" s="55">
        <v>37.641089461418957</v>
      </c>
      <c r="AA23" s="55">
        <v>38.287689827502817</v>
      </c>
      <c r="AB23" s="55">
        <v>38.554042196270728</v>
      </c>
    </row>
    <row r="24" spans="1:28" ht="13.5">
      <c r="A24" s="168"/>
      <c r="B24" s="12"/>
      <c r="C24" s="12" t="s">
        <v>16</v>
      </c>
      <c r="D24" s="12"/>
      <c r="E24" s="12"/>
      <c r="F24" s="55">
        <v>33.141715937859452</v>
      </c>
      <c r="G24" s="55"/>
      <c r="H24" s="55">
        <v>33.711087115317433</v>
      </c>
      <c r="I24" s="55">
        <v>34.378111285517505</v>
      </c>
      <c r="J24" s="55">
        <v>34.919990335051544</v>
      </c>
      <c r="K24" s="55">
        <v>35.653435704283162</v>
      </c>
      <c r="L24" s="55">
        <v>35.615886837118531</v>
      </c>
      <c r="M24" s="55">
        <v>36.186321481126591</v>
      </c>
      <c r="N24" s="55">
        <v>36.799966432281543</v>
      </c>
      <c r="O24" s="55">
        <v>37.057139471189295</v>
      </c>
      <c r="P24" s="55">
        <v>36.912012849477549</v>
      </c>
      <c r="Q24" s="55">
        <v>37.186479810996566</v>
      </c>
      <c r="R24" s="55">
        <v>37.034425365429549</v>
      </c>
      <c r="S24" s="55">
        <v>36.806606951599242</v>
      </c>
      <c r="T24" s="55">
        <v>36.697145965514736</v>
      </c>
      <c r="U24" s="55">
        <v>36.78749400009962</v>
      </c>
      <c r="V24" s="55">
        <v>36.824509596710215</v>
      </c>
      <c r="W24" s="55">
        <v>36.675673368099055</v>
      </c>
      <c r="X24" s="55">
        <v>36.19297244988983</v>
      </c>
      <c r="Y24" s="55">
        <v>35.969407682251443</v>
      </c>
      <c r="Z24" s="55">
        <v>35.616348309943099</v>
      </c>
      <c r="AA24" s="55">
        <v>36.117233967419544</v>
      </c>
      <c r="AB24" s="55">
        <v>36.34775336391565</v>
      </c>
    </row>
    <row r="25" spans="1:28" ht="13.5">
      <c r="A25" s="168"/>
      <c r="B25" s="12"/>
      <c r="C25" s="12" t="s">
        <v>187</v>
      </c>
      <c r="D25" s="12"/>
      <c r="E25" s="12"/>
      <c r="F25" s="55">
        <v>41.148613203861821</v>
      </c>
      <c r="G25" s="55">
        <v>41.760372325330607</v>
      </c>
      <c r="H25" s="55">
        <v>41.674367180680825</v>
      </c>
      <c r="I25" s="55">
        <v>41.405421833211769</v>
      </c>
      <c r="J25" s="55">
        <v>41.781888874952969</v>
      </c>
      <c r="K25" s="55">
        <v>41.48976143394782</v>
      </c>
      <c r="L25" s="55">
        <v>41.405846996686996</v>
      </c>
      <c r="M25" s="55">
        <v>41.378969317843314</v>
      </c>
      <c r="N25" s="55">
        <v>41.858700629199106</v>
      </c>
      <c r="O25" s="55">
        <v>41.853363609673217</v>
      </c>
      <c r="P25" s="55">
        <v>42.025649059982094</v>
      </c>
      <c r="Q25" s="55">
        <v>42.432628448029988</v>
      </c>
      <c r="R25" s="55">
        <v>42.824847666216414</v>
      </c>
      <c r="S25" s="55">
        <v>42.796629518885197</v>
      </c>
      <c r="T25" s="55">
        <v>42.00738582215169</v>
      </c>
      <c r="U25" s="55">
        <v>43.194366243015921</v>
      </c>
      <c r="V25" s="55">
        <v>43.56059616798435</v>
      </c>
      <c r="W25" s="55">
        <v>44.149937281786364</v>
      </c>
      <c r="X25" s="55">
        <v>43.881536419057362</v>
      </c>
      <c r="Y25" s="55">
        <v>43.84955424281425</v>
      </c>
      <c r="Z25" s="55">
        <v>43.78792346593535</v>
      </c>
      <c r="AA25" s="55">
        <v>44.376817348403506</v>
      </c>
      <c r="AB25" s="55">
        <v>45.070920453706066</v>
      </c>
    </row>
    <row r="26" spans="1:28" ht="13.5">
      <c r="A26" s="168"/>
      <c r="B26" s="12"/>
      <c r="C26" s="12" t="s">
        <v>11</v>
      </c>
      <c r="D26" s="12"/>
      <c r="E26" s="12"/>
      <c r="F26" s="55">
        <v>46.190014903129658</v>
      </c>
      <c r="G26" s="55">
        <v>46.701166180758015</v>
      </c>
      <c r="H26" s="55">
        <v>47.430947216196671</v>
      </c>
      <c r="I26" s="55">
        <v>47.52057761732852</v>
      </c>
      <c r="J26" s="55">
        <v>46.921015514809589</v>
      </c>
      <c r="K26" s="55">
        <v>47.762700069589421</v>
      </c>
      <c r="L26" s="55">
        <v>48.273777173913047</v>
      </c>
      <c r="M26" s="55">
        <v>47.817647058823532</v>
      </c>
      <c r="N26" s="55">
        <v>48.161210191082809</v>
      </c>
      <c r="O26" s="55">
        <v>47.642056476365873</v>
      </c>
      <c r="P26" s="55">
        <v>47.669085439229846</v>
      </c>
      <c r="Q26" s="55">
        <v>48.923523002421312</v>
      </c>
      <c r="R26" s="55">
        <v>49.100060642813808</v>
      </c>
      <c r="S26" s="55">
        <v>47.784582749488656</v>
      </c>
      <c r="T26" s="55">
        <v>42.985494307968843</v>
      </c>
      <c r="U26" s="55">
        <v>47.782100924649832</v>
      </c>
      <c r="V26" s="55">
        <v>48.146251489868888</v>
      </c>
      <c r="W26" s="55">
        <v>48.187421458209847</v>
      </c>
      <c r="X26" s="55">
        <v>48.448930341416521</v>
      </c>
      <c r="Y26" s="55">
        <v>48.476890102607257</v>
      </c>
      <c r="Z26" s="55">
        <v>48.511331379910267</v>
      </c>
      <c r="AA26" s="55">
        <v>48.756484499823316</v>
      </c>
      <c r="AB26" s="55">
        <v>48.421677448643734</v>
      </c>
    </row>
    <row r="27" spans="1:28" ht="13.5">
      <c r="A27" s="168"/>
      <c r="B27" s="12"/>
      <c r="C27" s="12" t="s">
        <v>17</v>
      </c>
      <c r="D27" s="12"/>
      <c r="E27" s="12"/>
      <c r="F27" s="55">
        <v>20.421875</v>
      </c>
      <c r="G27" s="55">
        <v>21.272727272727273</v>
      </c>
      <c r="H27" s="55">
        <v>18.078947368421051</v>
      </c>
      <c r="I27" s="55">
        <v>21.028985507246375</v>
      </c>
      <c r="J27" s="55">
        <v>24.067796610169491</v>
      </c>
      <c r="K27" s="55">
        <v>23.672131147540984</v>
      </c>
      <c r="L27" s="55">
        <v>23.357142857142858</v>
      </c>
      <c r="M27" s="55">
        <v>25.684210526315791</v>
      </c>
      <c r="N27" s="55">
        <v>22.339285714285715</v>
      </c>
      <c r="O27" s="55">
        <v>27</v>
      </c>
      <c r="P27" s="55">
        <v>19.730158730158731</v>
      </c>
      <c r="Q27" s="55">
        <v>18.942307692307693</v>
      </c>
      <c r="R27" s="55">
        <v>20.173076923076923</v>
      </c>
      <c r="S27" s="55">
        <v>21.303001945339275</v>
      </c>
      <c r="T27" s="55">
        <v>22.175475898933868</v>
      </c>
      <c r="U27" s="55">
        <v>24.990068609556047</v>
      </c>
      <c r="V27" s="55">
        <v>24.332034666713685</v>
      </c>
      <c r="W27" s="55">
        <v>22.853834944448927</v>
      </c>
      <c r="X27" s="55">
        <v>25.875</v>
      </c>
      <c r="Y27" s="55">
        <v>28.121951219512194</v>
      </c>
      <c r="Z27" s="55">
        <v>26.022727272727273</v>
      </c>
      <c r="AA27" s="55">
        <v>25.347826086956523</v>
      </c>
      <c r="AB27" s="55">
        <v>25.511111111111113</v>
      </c>
    </row>
    <row r="28" spans="1:28" ht="13.5">
      <c r="A28" s="168"/>
      <c r="B28" s="13"/>
      <c r="C28" s="13" t="s">
        <v>18</v>
      </c>
      <c r="D28" s="13"/>
      <c r="E28" s="13"/>
      <c r="F28" s="55">
        <v>18.390303651797414</v>
      </c>
      <c r="G28" s="55">
        <v>20.009368438055244</v>
      </c>
      <c r="H28" s="55">
        <v>19.940697674418605</v>
      </c>
      <c r="I28" s="55">
        <v>20.180695847362514</v>
      </c>
      <c r="J28" s="55">
        <v>21.237612612612612</v>
      </c>
      <c r="K28" s="55">
        <v>19.771926315789475</v>
      </c>
      <c r="L28" s="55">
        <v>20.148455577964121</v>
      </c>
      <c r="M28" s="55">
        <v>19.80641448228954</v>
      </c>
      <c r="N28" s="55">
        <v>19.781902065639088</v>
      </c>
      <c r="O28" s="55">
        <v>20.501077586206897</v>
      </c>
      <c r="P28" s="55">
        <v>22.014364640883979</v>
      </c>
      <c r="Q28" s="55">
        <v>21.670704845814978</v>
      </c>
      <c r="R28" s="55">
        <v>21.611768646717284</v>
      </c>
      <c r="S28" s="55">
        <v>22.064900345416358</v>
      </c>
      <c r="T28" s="55">
        <v>21.774575699232148</v>
      </c>
      <c r="U28" s="55">
        <v>22.730818300912951</v>
      </c>
      <c r="V28" s="55">
        <v>23.000524989199917</v>
      </c>
      <c r="W28" s="55">
        <v>23.096281617904182</v>
      </c>
      <c r="X28" s="55">
        <v>23.069847856154912</v>
      </c>
      <c r="Y28" s="55">
        <v>23.835914454277287</v>
      </c>
      <c r="Z28" s="55">
        <v>24.977403846153845</v>
      </c>
      <c r="AA28" s="55">
        <v>23.269984202211692</v>
      </c>
      <c r="AB28" s="55">
        <v>22.21614420062696</v>
      </c>
    </row>
    <row r="29" spans="1:28" ht="13.5">
      <c r="A29" s="168"/>
      <c r="B29" s="9" t="s">
        <v>125</v>
      </c>
      <c r="C29" s="9"/>
      <c r="D29" s="9"/>
      <c r="E29" s="9"/>
      <c r="F29" s="52" t="s">
        <v>55</v>
      </c>
      <c r="G29" s="52" t="s">
        <v>55</v>
      </c>
      <c r="H29" s="52" t="s">
        <v>55</v>
      </c>
      <c r="I29" s="52" t="s">
        <v>55</v>
      </c>
      <c r="J29" s="52" t="s">
        <v>55</v>
      </c>
      <c r="K29" s="52" t="s">
        <v>55</v>
      </c>
      <c r="L29" s="52" t="s">
        <v>55</v>
      </c>
      <c r="M29" s="52" t="s">
        <v>55</v>
      </c>
      <c r="N29" s="52" t="s">
        <v>55</v>
      </c>
      <c r="O29" s="52" t="s">
        <v>55</v>
      </c>
      <c r="P29" s="52" t="s">
        <v>55</v>
      </c>
      <c r="Q29" s="52" t="s">
        <v>55</v>
      </c>
      <c r="R29" s="52" t="s">
        <v>55</v>
      </c>
      <c r="S29" s="52" t="s">
        <v>55</v>
      </c>
      <c r="T29" s="52" t="s">
        <v>55</v>
      </c>
      <c r="U29" s="52" t="s">
        <v>55</v>
      </c>
      <c r="V29" s="52" t="s">
        <v>55</v>
      </c>
      <c r="W29" s="52" t="s">
        <v>55</v>
      </c>
      <c r="X29" s="52" t="s">
        <v>55</v>
      </c>
      <c r="Y29" s="52" t="s">
        <v>55</v>
      </c>
      <c r="Z29" s="52" t="s">
        <v>55</v>
      </c>
      <c r="AA29" s="52" t="s">
        <v>55</v>
      </c>
      <c r="AB29" s="52" t="s">
        <v>55</v>
      </c>
    </row>
    <row r="30" spans="1:28" ht="13.5">
      <c r="A30" s="168"/>
      <c r="B30" s="11" t="s">
        <v>127</v>
      </c>
      <c r="C30" s="11"/>
      <c r="D30" s="11"/>
      <c r="E30" s="11"/>
      <c r="F30" s="65" t="s">
        <v>55</v>
      </c>
      <c r="G30" s="65" t="s">
        <v>55</v>
      </c>
      <c r="H30" s="65" t="s">
        <v>55</v>
      </c>
      <c r="I30" s="65" t="s">
        <v>55</v>
      </c>
      <c r="J30" s="65" t="s">
        <v>55</v>
      </c>
      <c r="K30" s="65" t="s">
        <v>55</v>
      </c>
      <c r="L30" s="65" t="s">
        <v>55</v>
      </c>
      <c r="M30" s="65" t="s">
        <v>55</v>
      </c>
      <c r="N30" s="65" t="s">
        <v>55</v>
      </c>
      <c r="O30" s="65" t="s">
        <v>55</v>
      </c>
      <c r="P30" s="65" t="s">
        <v>55</v>
      </c>
      <c r="Q30" s="65" t="s">
        <v>55</v>
      </c>
      <c r="R30" s="65" t="s">
        <v>55</v>
      </c>
      <c r="S30" s="65" t="s">
        <v>55</v>
      </c>
      <c r="T30" s="65" t="s">
        <v>55</v>
      </c>
      <c r="U30" s="65" t="s">
        <v>55</v>
      </c>
      <c r="V30" s="65" t="s">
        <v>55</v>
      </c>
      <c r="W30" s="65" t="s">
        <v>55</v>
      </c>
      <c r="X30" s="65" t="s">
        <v>55</v>
      </c>
      <c r="Y30" s="65" t="s">
        <v>55</v>
      </c>
      <c r="Z30" s="65" t="s">
        <v>55</v>
      </c>
      <c r="AA30" s="65" t="s">
        <v>55</v>
      </c>
      <c r="AB30" s="65" t="s">
        <v>55</v>
      </c>
    </row>
    <row r="31" spans="1:28" ht="13.5">
      <c r="A31" s="168"/>
      <c r="B31" s="12"/>
      <c r="C31" s="12" t="s">
        <v>16</v>
      </c>
      <c r="D31" s="12"/>
      <c r="E31" s="12"/>
      <c r="F31" s="53" t="s">
        <v>55</v>
      </c>
      <c r="G31" s="53" t="s">
        <v>55</v>
      </c>
      <c r="H31" s="53" t="s">
        <v>55</v>
      </c>
      <c r="I31" s="53" t="s">
        <v>55</v>
      </c>
      <c r="J31" s="53" t="s">
        <v>55</v>
      </c>
      <c r="K31" s="53" t="s">
        <v>55</v>
      </c>
      <c r="L31" s="53" t="s">
        <v>55</v>
      </c>
      <c r="M31" s="53" t="s">
        <v>55</v>
      </c>
      <c r="N31" s="53" t="s">
        <v>55</v>
      </c>
      <c r="O31" s="53" t="s">
        <v>55</v>
      </c>
      <c r="P31" s="53" t="s">
        <v>55</v>
      </c>
      <c r="Q31" s="53" t="s">
        <v>55</v>
      </c>
      <c r="R31" s="53" t="s">
        <v>55</v>
      </c>
      <c r="S31" s="53" t="s">
        <v>55</v>
      </c>
      <c r="T31" s="53" t="s">
        <v>55</v>
      </c>
      <c r="U31" s="53" t="s">
        <v>55</v>
      </c>
      <c r="V31" s="53" t="s">
        <v>55</v>
      </c>
      <c r="W31" s="53" t="s">
        <v>55</v>
      </c>
      <c r="X31" s="53" t="s">
        <v>55</v>
      </c>
      <c r="Y31" s="53" t="s">
        <v>55</v>
      </c>
      <c r="Z31" s="53" t="s">
        <v>55</v>
      </c>
      <c r="AA31" s="53" t="s">
        <v>55</v>
      </c>
      <c r="AB31" s="53" t="s">
        <v>55</v>
      </c>
    </row>
    <row r="32" spans="1:28" ht="13.5">
      <c r="A32" s="168"/>
      <c r="B32" s="12"/>
      <c r="C32" s="12" t="s">
        <v>187</v>
      </c>
      <c r="D32" s="12"/>
      <c r="E32" s="12"/>
      <c r="F32" s="53" t="s">
        <v>55</v>
      </c>
      <c r="G32" s="53" t="s">
        <v>55</v>
      </c>
      <c r="H32" s="53" t="s">
        <v>55</v>
      </c>
      <c r="I32" s="53" t="s">
        <v>55</v>
      </c>
      <c r="J32" s="53" t="s">
        <v>55</v>
      </c>
      <c r="K32" s="53" t="s">
        <v>55</v>
      </c>
      <c r="L32" s="53" t="s">
        <v>55</v>
      </c>
      <c r="M32" s="53" t="s">
        <v>55</v>
      </c>
      <c r="N32" s="53" t="s">
        <v>55</v>
      </c>
      <c r="O32" s="53" t="s">
        <v>55</v>
      </c>
      <c r="P32" s="53" t="s">
        <v>55</v>
      </c>
      <c r="Q32" s="53" t="s">
        <v>55</v>
      </c>
      <c r="R32" s="53" t="s">
        <v>55</v>
      </c>
      <c r="S32" s="53" t="s">
        <v>55</v>
      </c>
      <c r="T32" s="53" t="s">
        <v>55</v>
      </c>
      <c r="U32" s="53" t="s">
        <v>55</v>
      </c>
      <c r="V32" s="53" t="s">
        <v>55</v>
      </c>
      <c r="W32" s="53" t="s">
        <v>55</v>
      </c>
      <c r="X32" s="53" t="s">
        <v>55</v>
      </c>
      <c r="Y32" s="53" t="s">
        <v>55</v>
      </c>
      <c r="Z32" s="53" t="s">
        <v>55</v>
      </c>
      <c r="AA32" s="53" t="s">
        <v>55</v>
      </c>
      <c r="AB32" s="53" t="s">
        <v>55</v>
      </c>
    </row>
    <row r="33" spans="1:28" ht="13.5">
      <c r="A33" s="168"/>
      <c r="B33" s="12"/>
      <c r="C33" s="12" t="s">
        <v>11</v>
      </c>
      <c r="D33" s="12"/>
      <c r="E33" s="12"/>
      <c r="F33" s="53" t="s">
        <v>55</v>
      </c>
      <c r="G33" s="53" t="s">
        <v>55</v>
      </c>
      <c r="H33" s="53" t="s">
        <v>55</v>
      </c>
      <c r="I33" s="53" t="s">
        <v>55</v>
      </c>
      <c r="J33" s="53" t="s">
        <v>55</v>
      </c>
      <c r="K33" s="53" t="s">
        <v>55</v>
      </c>
      <c r="L33" s="53" t="s">
        <v>55</v>
      </c>
      <c r="M33" s="53" t="s">
        <v>55</v>
      </c>
      <c r="N33" s="53" t="s">
        <v>55</v>
      </c>
      <c r="O33" s="53" t="s">
        <v>55</v>
      </c>
      <c r="P33" s="53" t="s">
        <v>55</v>
      </c>
      <c r="Q33" s="53" t="s">
        <v>55</v>
      </c>
      <c r="R33" s="53" t="s">
        <v>55</v>
      </c>
      <c r="S33" s="53" t="s">
        <v>55</v>
      </c>
      <c r="T33" s="53" t="s">
        <v>55</v>
      </c>
      <c r="U33" s="53" t="s">
        <v>55</v>
      </c>
      <c r="V33" s="53" t="s">
        <v>55</v>
      </c>
      <c r="W33" s="53" t="s">
        <v>55</v>
      </c>
      <c r="X33" s="53" t="s">
        <v>55</v>
      </c>
      <c r="Y33" s="53" t="s">
        <v>55</v>
      </c>
      <c r="Z33" s="53" t="s">
        <v>55</v>
      </c>
      <c r="AA33" s="53" t="s">
        <v>55</v>
      </c>
      <c r="AB33" s="53" t="s">
        <v>55</v>
      </c>
    </row>
    <row r="34" spans="1:28" ht="13.5">
      <c r="A34" s="168"/>
      <c r="B34" s="12"/>
      <c r="C34" s="12" t="s">
        <v>19</v>
      </c>
      <c r="D34" s="12"/>
      <c r="E34" s="12"/>
      <c r="F34" s="53" t="s">
        <v>55</v>
      </c>
      <c r="G34" s="53" t="s">
        <v>55</v>
      </c>
      <c r="H34" s="53" t="s">
        <v>55</v>
      </c>
      <c r="I34" s="53" t="s">
        <v>55</v>
      </c>
      <c r="J34" s="53" t="s">
        <v>55</v>
      </c>
      <c r="K34" s="53" t="s">
        <v>55</v>
      </c>
      <c r="L34" s="53" t="s">
        <v>55</v>
      </c>
      <c r="M34" s="53" t="s">
        <v>55</v>
      </c>
      <c r="N34" s="53" t="s">
        <v>55</v>
      </c>
      <c r="O34" s="53" t="s">
        <v>55</v>
      </c>
      <c r="P34" s="53" t="s">
        <v>55</v>
      </c>
      <c r="Q34" s="53" t="s">
        <v>55</v>
      </c>
      <c r="R34" s="53" t="s">
        <v>55</v>
      </c>
      <c r="S34" s="53" t="s">
        <v>55</v>
      </c>
      <c r="T34" s="53" t="s">
        <v>55</v>
      </c>
      <c r="U34" s="53" t="s">
        <v>55</v>
      </c>
      <c r="V34" s="53" t="s">
        <v>55</v>
      </c>
      <c r="W34" s="53" t="s">
        <v>55</v>
      </c>
      <c r="X34" s="53" t="s">
        <v>55</v>
      </c>
      <c r="Y34" s="53" t="s">
        <v>55</v>
      </c>
      <c r="Z34" s="53" t="s">
        <v>55</v>
      </c>
      <c r="AA34" s="53" t="s">
        <v>55</v>
      </c>
      <c r="AB34" s="53" t="s">
        <v>55</v>
      </c>
    </row>
    <row r="35" spans="1:28" ht="13.5">
      <c r="A35" s="168"/>
      <c r="B35" s="14"/>
      <c r="C35" s="14" t="s">
        <v>20</v>
      </c>
      <c r="D35" s="14"/>
      <c r="E35" s="14"/>
      <c r="F35" s="53" t="s">
        <v>55</v>
      </c>
      <c r="G35" s="53" t="s">
        <v>55</v>
      </c>
      <c r="H35" s="53" t="s">
        <v>55</v>
      </c>
      <c r="I35" s="53" t="s">
        <v>55</v>
      </c>
      <c r="J35" s="53" t="s">
        <v>55</v>
      </c>
      <c r="K35" s="53" t="s">
        <v>55</v>
      </c>
      <c r="L35" s="53" t="s">
        <v>55</v>
      </c>
      <c r="M35" s="53" t="s">
        <v>55</v>
      </c>
      <c r="N35" s="53" t="s">
        <v>55</v>
      </c>
      <c r="O35" s="53" t="s">
        <v>55</v>
      </c>
      <c r="P35" s="53" t="s">
        <v>55</v>
      </c>
      <c r="Q35" s="53" t="s">
        <v>55</v>
      </c>
      <c r="R35" s="53" t="s">
        <v>55</v>
      </c>
      <c r="S35" s="53" t="s">
        <v>55</v>
      </c>
      <c r="T35" s="53" t="s">
        <v>55</v>
      </c>
      <c r="U35" s="53" t="s">
        <v>55</v>
      </c>
      <c r="V35" s="53" t="s">
        <v>55</v>
      </c>
      <c r="W35" s="53" t="s">
        <v>55</v>
      </c>
      <c r="X35" s="53" t="s">
        <v>55</v>
      </c>
      <c r="Y35" s="53" t="s">
        <v>55</v>
      </c>
      <c r="Z35" s="53" t="s">
        <v>55</v>
      </c>
      <c r="AA35" s="53" t="s">
        <v>55</v>
      </c>
      <c r="AB35" s="53" t="s">
        <v>55</v>
      </c>
    </row>
    <row r="36" spans="1:28" ht="16.5" customHeight="1">
      <c r="A36" s="168"/>
      <c r="B36" s="15"/>
      <c r="C36" s="15"/>
      <c r="D36" s="15"/>
      <c r="E36" s="15"/>
      <c r="F36" s="57"/>
      <c r="G36" s="57"/>
      <c r="H36" s="57"/>
      <c r="I36" s="57"/>
      <c r="J36" s="57"/>
      <c r="K36" s="57"/>
      <c r="L36" s="57"/>
      <c r="M36" s="57"/>
      <c r="N36" s="57"/>
      <c r="O36" s="57"/>
      <c r="P36" s="57"/>
      <c r="Q36" s="57"/>
      <c r="R36" s="57"/>
      <c r="S36" s="57"/>
      <c r="T36" s="57"/>
      <c r="U36" s="57"/>
      <c r="V36" s="57"/>
      <c r="W36" s="57"/>
      <c r="X36" s="57"/>
      <c r="Y36" s="57"/>
      <c r="Z36" s="57"/>
      <c r="AA36" s="57"/>
      <c r="AB36" s="57"/>
    </row>
    <row r="37" spans="1:28" ht="13.5">
      <c r="A37" s="168">
        <v>82</v>
      </c>
      <c r="B37" s="10" t="s">
        <v>128</v>
      </c>
      <c r="C37" s="10"/>
      <c r="D37" s="10"/>
      <c r="E37" s="10"/>
      <c r="F37" s="66" t="s">
        <v>55</v>
      </c>
      <c r="G37" s="66" t="s">
        <v>55</v>
      </c>
      <c r="H37" s="66" t="s">
        <v>55</v>
      </c>
      <c r="I37" s="66" t="s">
        <v>55</v>
      </c>
      <c r="J37" s="66" t="s">
        <v>55</v>
      </c>
      <c r="K37" s="66" t="s">
        <v>55</v>
      </c>
      <c r="L37" s="66" t="s">
        <v>55</v>
      </c>
      <c r="M37" s="66" t="s">
        <v>55</v>
      </c>
      <c r="N37" s="66" t="s">
        <v>55</v>
      </c>
      <c r="O37" s="66" t="s">
        <v>55</v>
      </c>
      <c r="P37" s="66" t="s">
        <v>55</v>
      </c>
      <c r="Q37" s="66" t="s">
        <v>55</v>
      </c>
      <c r="R37" s="66" t="s">
        <v>55</v>
      </c>
      <c r="S37" s="66" t="s">
        <v>55</v>
      </c>
      <c r="T37" s="66" t="s">
        <v>55</v>
      </c>
      <c r="U37" s="66" t="s">
        <v>55</v>
      </c>
      <c r="V37" s="66" t="s">
        <v>55</v>
      </c>
      <c r="W37" s="66" t="s">
        <v>55</v>
      </c>
      <c r="X37" s="66" t="s">
        <v>55</v>
      </c>
      <c r="Y37" s="66" t="s">
        <v>55</v>
      </c>
      <c r="Z37" s="66" t="s">
        <v>55</v>
      </c>
      <c r="AA37" s="66" t="s">
        <v>55</v>
      </c>
      <c r="AB37" s="66" t="s">
        <v>55</v>
      </c>
    </row>
    <row r="38" spans="1:28" ht="13.5">
      <c r="A38" s="168"/>
      <c r="B38" s="12"/>
      <c r="C38" s="12" t="s">
        <v>21</v>
      </c>
      <c r="D38" s="12"/>
      <c r="E38" s="12"/>
      <c r="F38" s="67">
        <v>13.429614937564647</v>
      </c>
      <c r="G38" s="67">
        <v>13.51767457979553</v>
      </c>
      <c r="H38" s="67">
        <v>13.542257912759975</v>
      </c>
      <c r="I38" s="67">
        <v>13.55780528398382</v>
      </c>
      <c r="J38" s="67">
        <v>13.56309350293715</v>
      </c>
      <c r="K38" s="67">
        <v>13.246026057207812</v>
      </c>
      <c r="L38" s="67">
        <v>13.199466516063167</v>
      </c>
      <c r="M38" s="67">
        <v>13.006771212421977</v>
      </c>
      <c r="N38" s="67">
        <v>13.00526561489866</v>
      </c>
      <c r="O38" s="67">
        <v>13.021306363754583</v>
      </c>
      <c r="P38" s="67">
        <v>13.111906466237174</v>
      </c>
      <c r="Q38" s="67">
        <v>13.12510980966325</v>
      </c>
      <c r="R38" s="67">
        <v>13.212562427013193</v>
      </c>
      <c r="S38" s="67">
        <v>13.211322928481943</v>
      </c>
      <c r="T38" s="67">
        <v>13.598532459592491</v>
      </c>
      <c r="U38" s="67">
        <v>13.655991084756879</v>
      </c>
      <c r="V38" s="67">
        <v>13.600267393565511</v>
      </c>
      <c r="W38" s="67">
        <v>13.579620814582954</v>
      </c>
      <c r="X38" s="67">
        <v>13.44859700963926</v>
      </c>
      <c r="Y38" s="67">
        <v>13.310199053909576</v>
      </c>
      <c r="Z38" s="67">
        <v>13.600895542791168</v>
      </c>
      <c r="AA38" s="67">
        <v>13.86594875972904</v>
      </c>
      <c r="AB38" s="67">
        <v>14.182847447001228</v>
      </c>
    </row>
    <row r="39" spans="1:28" ht="13.5">
      <c r="A39" s="168"/>
      <c r="B39" s="12"/>
      <c r="C39" s="12"/>
      <c r="D39" s="12" t="s">
        <v>22</v>
      </c>
      <c r="E39" s="12"/>
      <c r="F39" s="55">
        <v>11.770339452080066</v>
      </c>
      <c r="G39" s="55">
        <v>11.783979638728834</v>
      </c>
      <c r="H39" s="55">
        <v>11.828725789523901</v>
      </c>
      <c r="I39" s="55">
        <v>11.797086468424721</v>
      </c>
      <c r="J39" s="55">
        <v>11.754860453122564</v>
      </c>
      <c r="K39" s="55">
        <v>11.639257284752624</v>
      </c>
      <c r="L39" s="55">
        <v>11.745402713776652</v>
      </c>
      <c r="M39" s="55">
        <v>11.711816136139891</v>
      </c>
      <c r="N39" s="55">
        <v>11.755795180722892</v>
      </c>
      <c r="O39" s="55">
        <v>11.760435613840562</v>
      </c>
      <c r="P39" s="55">
        <v>11.869439316152855</v>
      </c>
      <c r="Q39" s="55">
        <v>11.894821985531067</v>
      </c>
      <c r="R39" s="55">
        <v>11.941663136715027</v>
      </c>
      <c r="S39" s="55">
        <v>11.897695687878677</v>
      </c>
      <c r="T39" s="55">
        <v>12.084589418311388</v>
      </c>
      <c r="U39" s="55">
        <v>11.981822997965905</v>
      </c>
      <c r="V39" s="55">
        <v>12.089987176662783</v>
      </c>
      <c r="W39" s="55">
        <v>12.096587980296876</v>
      </c>
      <c r="X39" s="55">
        <v>11.981918514035474</v>
      </c>
      <c r="Y39" s="55">
        <v>11.859960079120539</v>
      </c>
      <c r="Z39" s="55">
        <v>11.957920712438954</v>
      </c>
      <c r="AA39" s="55">
        <v>11.987124982990931</v>
      </c>
      <c r="AB39" s="55">
        <v>11.955925388604886</v>
      </c>
    </row>
    <row r="40" spans="1:28" ht="13.5">
      <c r="A40" s="168"/>
      <c r="B40" s="12"/>
      <c r="C40" s="12"/>
      <c r="D40" s="12" t="s">
        <v>23</v>
      </c>
      <c r="E40" s="12"/>
      <c r="F40" s="55">
        <v>30.184116242038218</v>
      </c>
      <c r="G40" s="55">
        <v>29.186274509803923</v>
      </c>
      <c r="H40" s="55">
        <v>28.351462097224807</v>
      </c>
      <c r="I40" s="55">
        <v>28.776658429956282</v>
      </c>
      <c r="J40" s="55">
        <v>30.534423581667678</v>
      </c>
      <c r="K40" s="55">
        <v>30.093946188340809</v>
      </c>
      <c r="L40" s="55">
        <v>30.225862931465734</v>
      </c>
      <c r="M40" s="55">
        <v>31.219059720457434</v>
      </c>
      <c r="N40" s="55">
        <v>30.918903073286049</v>
      </c>
      <c r="O40" s="55">
        <v>32.377084032673153</v>
      </c>
      <c r="P40" s="55">
        <v>32.105688789737869</v>
      </c>
      <c r="Q40" s="55">
        <v>31.631152125279641</v>
      </c>
      <c r="R40" s="55">
        <v>31.072289156626507</v>
      </c>
      <c r="S40" s="55">
        <v>30.355611214685808</v>
      </c>
      <c r="T40" s="55">
        <v>26.495242783508846</v>
      </c>
      <c r="U40" s="55">
        <v>28.309599037767615</v>
      </c>
      <c r="V40" s="55">
        <v>29.121805211245189</v>
      </c>
      <c r="W40" s="55">
        <v>30.260687229860917</v>
      </c>
      <c r="X40" s="55">
        <v>30.050647412134598</v>
      </c>
      <c r="Y40" s="55">
        <v>29.831777211756496</v>
      </c>
      <c r="Z40" s="55">
        <v>29.579975569295733</v>
      </c>
      <c r="AA40" s="55">
        <v>29.691779952236363</v>
      </c>
      <c r="AB40" s="55">
        <v>31.116900440062178</v>
      </c>
    </row>
    <row r="41" spans="1:28" ht="13.5">
      <c r="A41" s="168"/>
      <c r="B41" s="12"/>
      <c r="C41" s="12"/>
      <c r="D41" s="12" t="s">
        <v>24</v>
      </c>
      <c r="E41" s="12"/>
      <c r="F41" s="55">
        <v>42.926419753086421</v>
      </c>
      <c r="G41" s="55">
        <v>42.465813850904276</v>
      </c>
      <c r="H41" s="55">
        <v>42.895242451967064</v>
      </c>
      <c r="I41" s="55">
        <v>42.844356261022931</v>
      </c>
      <c r="J41" s="55">
        <v>43.422560429722473</v>
      </c>
      <c r="K41" s="55">
        <v>43.060806216610004</v>
      </c>
      <c r="L41" s="55">
        <v>42.944877795111807</v>
      </c>
      <c r="M41" s="55">
        <v>40.367864693446087</v>
      </c>
      <c r="N41" s="55">
        <v>39.076358296622615</v>
      </c>
      <c r="O41" s="55">
        <v>39.894521668029434</v>
      </c>
      <c r="P41" s="55">
        <v>39.279513888888886</v>
      </c>
      <c r="Q41" s="55">
        <v>39.031390134529147</v>
      </c>
      <c r="R41" s="55">
        <v>37.78886925795053</v>
      </c>
      <c r="S41" s="55">
        <v>30.878401360544217</v>
      </c>
      <c r="T41" s="55">
        <v>42.484240687679083</v>
      </c>
      <c r="U41" s="55">
        <v>40.558376811594201</v>
      </c>
      <c r="V41" s="55">
        <v>40.308064516129029</v>
      </c>
      <c r="W41" s="55">
        <v>40.955448440993791</v>
      </c>
      <c r="X41" s="55">
        <v>45.952268931034482</v>
      </c>
      <c r="Y41" s="55">
        <v>47.199510400000001</v>
      </c>
      <c r="Z41" s="55">
        <v>48.711845681830596</v>
      </c>
      <c r="AA41" s="55">
        <v>48.834267782426778</v>
      </c>
      <c r="AB41" s="55">
        <v>48.501645569620251</v>
      </c>
    </row>
    <row r="42" spans="1:28" ht="13.5">
      <c r="A42" s="168"/>
      <c r="B42" s="12"/>
      <c r="C42" s="12" t="s">
        <v>25</v>
      </c>
      <c r="D42" s="12"/>
      <c r="E42" s="12"/>
      <c r="F42" s="55">
        <v>33.172413793103445</v>
      </c>
      <c r="G42" s="55">
        <v>33.107142857142854</v>
      </c>
      <c r="H42" s="55">
        <v>34.5</v>
      </c>
      <c r="I42" s="55">
        <v>32.888888888888886</v>
      </c>
      <c r="J42" s="55">
        <v>32.357142857142854</v>
      </c>
      <c r="K42" s="55">
        <v>32.615384615384613</v>
      </c>
      <c r="L42" s="55">
        <v>31.458333333333332</v>
      </c>
      <c r="M42" s="55">
        <v>32.208333333333336</v>
      </c>
      <c r="N42" s="55">
        <v>32</v>
      </c>
      <c r="O42" s="55">
        <v>32.521739130434781</v>
      </c>
      <c r="P42" s="55">
        <v>32.666666666666664</v>
      </c>
      <c r="Q42" s="55">
        <v>33.647058823529413</v>
      </c>
      <c r="R42" s="55">
        <v>32</v>
      </c>
      <c r="S42" s="55">
        <v>32.846153846153847</v>
      </c>
      <c r="T42" s="55">
        <v>33</v>
      </c>
      <c r="U42" s="55">
        <v>32.435000000000002</v>
      </c>
      <c r="V42" s="55">
        <v>30.986666666666665</v>
      </c>
      <c r="W42" s="55">
        <v>32.371430250000003</v>
      </c>
      <c r="X42" s="55">
        <v>32.862870666666666</v>
      </c>
      <c r="Y42" s="55">
        <v>33.116781500000002</v>
      </c>
      <c r="Z42" s="55">
        <v>31.50970669842247</v>
      </c>
      <c r="AA42" s="55">
        <v>0</v>
      </c>
      <c r="AB42" s="55">
        <v>32.58</v>
      </c>
    </row>
    <row r="43" spans="1:28" ht="13.5">
      <c r="A43" s="168"/>
      <c r="B43" s="12"/>
      <c r="C43" s="12" t="s">
        <v>26</v>
      </c>
      <c r="D43" s="12"/>
      <c r="E43" s="12"/>
      <c r="F43" s="55">
        <v>34.797323600973236</v>
      </c>
      <c r="G43" s="55">
        <v>34.662235110417129</v>
      </c>
      <c r="H43" s="55">
        <v>34.829135578548168</v>
      </c>
      <c r="I43" s="55">
        <v>34.334098282820293</v>
      </c>
      <c r="J43" s="55">
        <v>34.472019559143121</v>
      </c>
      <c r="K43" s="55">
        <v>34.392871692907001</v>
      </c>
      <c r="L43" s="55">
        <v>34.285756056808687</v>
      </c>
      <c r="M43" s="55">
        <v>34.428286429814506</v>
      </c>
      <c r="N43" s="55">
        <v>34.465496117304923</v>
      </c>
      <c r="O43" s="55">
        <v>34.700745555688556</v>
      </c>
      <c r="P43" s="55">
        <v>34.611501959488173</v>
      </c>
      <c r="Q43" s="55">
        <v>34.619343048141204</v>
      </c>
      <c r="R43" s="55">
        <v>34.157155356795641</v>
      </c>
      <c r="S43" s="55">
        <v>34.244229789440155</v>
      </c>
      <c r="T43" s="55">
        <v>33.768847698669717</v>
      </c>
      <c r="U43" s="55">
        <v>33.885269796196134</v>
      </c>
      <c r="V43" s="55">
        <v>34.149700206168085</v>
      </c>
      <c r="W43" s="55">
        <v>34.204357219994108</v>
      </c>
      <c r="X43" s="55">
        <v>34.132703176390841</v>
      </c>
      <c r="Y43" s="55">
        <v>34.176397418109772</v>
      </c>
      <c r="Z43" s="55">
        <v>34.368138181633377</v>
      </c>
      <c r="AA43" s="55">
        <v>34.380667430993199</v>
      </c>
      <c r="AB43" s="55">
        <v>33.493032635435185</v>
      </c>
    </row>
    <row r="44" spans="1:28" ht="13.5">
      <c r="A44" s="168"/>
      <c r="B44" s="12"/>
      <c r="C44" s="12" t="s">
        <v>27</v>
      </c>
      <c r="D44" s="12"/>
      <c r="E44" s="12"/>
      <c r="F44" s="55">
        <v>37.011695906432749</v>
      </c>
      <c r="G44" s="55">
        <v>37.147424511545296</v>
      </c>
      <c r="H44" s="55">
        <v>35.730027548209364</v>
      </c>
      <c r="I44" s="55">
        <v>33.78239608801956</v>
      </c>
      <c r="J44" s="55">
        <v>33.888888888888886</v>
      </c>
      <c r="K44" s="55">
        <v>33.939323220536757</v>
      </c>
      <c r="L44" s="55">
        <v>33.772468714448237</v>
      </c>
      <c r="M44" s="55">
        <v>33.44879518072289</v>
      </c>
      <c r="N44" s="55">
        <v>33.298808432630615</v>
      </c>
      <c r="O44" s="55">
        <v>33.533212669683252</v>
      </c>
      <c r="P44" s="55">
        <v>33.854205607476636</v>
      </c>
      <c r="Q44" s="55">
        <v>33.6252427184466</v>
      </c>
      <c r="R44" s="55">
        <v>33.68346774193548</v>
      </c>
      <c r="S44" s="55">
        <v>33.455738479282282</v>
      </c>
      <c r="T44" s="55">
        <v>34.090695382114454</v>
      </c>
      <c r="U44" s="55">
        <v>33.95449453761006</v>
      </c>
      <c r="V44" s="55">
        <v>33.148848108853542</v>
      </c>
      <c r="W44" s="55">
        <v>33.690434462175141</v>
      </c>
      <c r="X44" s="55">
        <v>33.544508021374043</v>
      </c>
      <c r="Y44" s="55">
        <v>32.994855259316765</v>
      </c>
      <c r="Z44" s="55">
        <v>34.132522045855382</v>
      </c>
      <c r="AA44" s="55">
        <v>33.455965250965257</v>
      </c>
      <c r="AB44" s="55">
        <v>34.320679405520174</v>
      </c>
    </row>
    <row r="45" spans="1:28" ht="13.5">
      <c r="A45" s="168"/>
      <c r="B45" s="12"/>
      <c r="C45" s="12" t="s">
        <v>28</v>
      </c>
      <c r="D45" s="12"/>
      <c r="E45" s="12"/>
      <c r="F45" s="53" t="s">
        <v>55</v>
      </c>
      <c r="G45" s="53" t="s">
        <v>55</v>
      </c>
      <c r="H45" s="53" t="s">
        <v>55</v>
      </c>
      <c r="I45" s="53" t="s">
        <v>55</v>
      </c>
      <c r="J45" s="53" t="s">
        <v>55</v>
      </c>
      <c r="K45" s="53" t="s">
        <v>55</v>
      </c>
      <c r="L45" s="53" t="s">
        <v>55</v>
      </c>
      <c r="M45" s="53" t="s">
        <v>55</v>
      </c>
      <c r="N45" s="53" t="s">
        <v>55</v>
      </c>
      <c r="O45" s="53" t="s">
        <v>55</v>
      </c>
      <c r="P45" s="53" t="s">
        <v>55</v>
      </c>
      <c r="Q45" s="53" t="s">
        <v>55</v>
      </c>
      <c r="R45" s="53" t="s">
        <v>55</v>
      </c>
      <c r="S45" s="53" t="s">
        <v>55</v>
      </c>
      <c r="T45" s="53" t="s">
        <v>55</v>
      </c>
      <c r="U45" s="53" t="s">
        <v>55</v>
      </c>
      <c r="V45" s="53" t="s">
        <v>55</v>
      </c>
      <c r="W45" s="53" t="s">
        <v>55</v>
      </c>
      <c r="X45" s="53" t="s">
        <v>55</v>
      </c>
      <c r="Y45" s="53" t="s">
        <v>55</v>
      </c>
      <c r="Z45" s="53" t="s">
        <v>55</v>
      </c>
      <c r="AA45" s="53" t="s">
        <v>55</v>
      </c>
      <c r="AB45" s="53" t="s">
        <v>55</v>
      </c>
    </row>
    <row r="46" spans="1:28" ht="13.5">
      <c r="A46" s="168"/>
      <c r="B46" s="12"/>
      <c r="C46" s="12" t="s">
        <v>29</v>
      </c>
      <c r="D46" s="12"/>
      <c r="E46" s="12"/>
      <c r="F46" s="55">
        <v>27.52956989247312</v>
      </c>
      <c r="G46" s="55">
        <v>26.809582309582311</v>
      </c>
      <c r="H46" s="55">
        <v>26.786721504112808</v>
      </c>
      <c r="I46" s="55">
        <v>26.983207547169812</v>
      </c>
      <c r="J46" s="55">
        <v>26.760893246187365</v>
      </c>
      <c r="K46" s="55">
        <v>26.828443649373881</v>
      </c>
      <c r="L46" s="55">
        <v>27.031734960767221</v>
      </c>
      <c r="M46" s="55">
        <v>26.961150353178606</v>
      </c>
      <c r="N46" s="55">
        <v>27.081978308598973</v>
      </c>
      <c r="O46" s="55">
        <v>27.319366395753853</v>
      </c>
      <c r="P46" s="55">
        <v>26.551217038539555</v>
      </c>
      <c r="Q46" s="55">
        <v>26.329174983366599</v>
      </c>
      <c r="R46" s="55">
        <v>26.266916680254361</v>
      </c>
      <c r="S46" s="55">
        <v>26.423739367325823</v>
      </c>
      <c r="T46" s="55">
        <v>26.378299109674977</v>
      </c>
      <c r="U46" s="55">
        <v>26.496745250180659</v>
      </c>
      <c r="V46" s="55">
        <v>27.238714210904355</v>
      </c>
      <c r="W46" s="55">
        <v>27.206216294397901</v>
      </c>
      <c r="X46" s="55">
        <v>27.450747206703912</v>
      </c>
      <c r="Y46" s="55">
        <v>27.33901984679666</v>
      </c>
      <c r="Z46" s="55">
        <v>27.998973438621679</v>
      </c>
      <c r="AA46" s="55">
        <v>27.61597220705093</v>
      </c>
      <c r="AB46" s="55">
        <v>27.985707458587747</v>
      </c>
    </row>
    <row r="47" spans="1:28" ht="13.5">
      <c r="A47" s="168"/>
      <c r="B47" s="12"/>
      <c r="C47" s="12" t="s">
        <v>30</v>
      </c>
      <c r="D47" s="12"/>
      <c r="E47" s="12"/>
      <c r="F47" s="55">
        <v>27.078512933835956</v>
      </c>
      <c r="G47" s="55">
        <v>26.871448772335775</v>
      </c>
      <c r="H47" s="55">
        <v>26.299880684077952</v>
      </c>
      <c r="I47" s="55">
        <v>26.310078569493363</v>
      </c>
      <c r="J47" s="55">
        <v>26.403540563144688</v>
      </c>
      <c r="K47" s="55">
        <v>26.293894867549668</v>
      </c>
      <c r="L47" s="55">
        <v>26.408401355932202</v>
      </c>
      <c r="M47" s="55">
        <v>26.416571933813312</v>
      </c>
      <c r="N47" s="55">
        <v>26.513364666184621</v>
      </c>
      <c r="O47" s="55">
        <v>26.376114279064357</v>
      </c>
      <c r="P47" s="55">
        <v>25.651608638166593</v>
      </c>
      <c r="Q47" s="55">
        <v>26.385870164223519</v>
      </c>
      <c r="R47" s="55">
        <v>26.100570690212123</v>
      </c>
      <c r="S47" s="55">
        <v>25.75560796462975</v>
      </c>
      <c r="T47" s="55">
        <v>25.613412724513864</v>
      </c>
      <c r="U47" s="55">
        <v>25.737043707917955</v>
      </c>
      <c r="V47" s="55">
        <v>25.8451989519194</v>
      </c>
      <c r="W47" s="55">
        <v>25.656674890313017</v>
      </c>
      <c r="X47" s="55">
        <v>25.441840901202188</v>
      </c>
      <c r="Y47" s="55">
        <v>25.251472779042043</v>
      </c>
      <c r="Z47" s="55">
        <v>25.413583817612878</v>
      </c>
      <c r="AA47" s="55">
        <v>25.582836915392985</v>
      </c>
      <c r="AB47" s="55">
        <v>25.160057643716549</v>
      </c>
    </row>
    <row r="48" spans="1:28" ht="13.5">
      <c r="A48" s="168"/>
      <c r="B48" s="12"/>
      <c r="C48" s="12" t="s">
        <v>31</v>
      </c>
      <c r="D48" s="12"/>
      <c r="E48" s="12"/>
      <c r="F48" s="53" t="s">
        <v>55</v>
      </c>
      <c r="G48" s="53" t="s">
        <v>55</v>
      </c>
      <c r="H48" s="53" t="s">
        <v>55</v>
      </c>
      <c r="I48" s="53" t="s">
        <v>55</v>
      </c>
      <c r="J48" s="53" t="s">
        <v>55</v>
      </c>
      <c r="K48" s="53" t="s">
        <v>55</v>
      </c>
      <c r="L48" s="53" t="s">
        <v>55</v>
      </c>
      <c r="M48" s="53" t="s">
        <v>55</v>
      </c>
      <c r="N48" s="53" t="s">
        <v>55</v>
      </c>
      <c r="O48" s="53" t="s">
        <v>55</v>
      </c>
      <c r="P48" s="53" t="s">
        <v>55</v>
      </c>
      <c r="Q48" s="53" t="s">
        <v>55</v>
      </c>
      <c r="R48" s="53" t="s">
        <v>55</v>
      </c>
      <c r="S48" s="53" t="s">
        <v>55</v>
      </c>
      <c r="T48" s="53" t="s">
        <v>55</v>
      </c>
      <c r="U48" s="53" t="s">
        <v>55</v>
      </c>
      <c r="V48" s="53" t="s">
        <v>55</v>
      </c>
      <c r="W48" s="53" t="s">
        <v>55</v>
      </c>
      <c r="X48" s="53" t="s">
        <v>55</v>
      </c>
      <c r="Y48" s="53" t="s">
        <v>55</v>
      </c>
      <c r="Z48" s="53" t="s">
        <v>55</v>
      </c>
      <c r="AA48" s="53" t="s">
        <v>55</v>
      </c>
      <c r="AB48" s="53" t="s">
        <v>55</v>
      </c>
    </row>
    <row r="49" spans="1:28" ht="13.5">
      <c r="A49" s="168"/>
      <c r="B49" s="16" t="s">
        <v>129</v>
      </c>
      <c r="C49" s="16"/>
      <c r="D49" s="16"/>
      <c r="E49" s="16"/>
      <c r="F49" s="68" t="s">
        <v>55</v>
      </c>
      <c r="G49" s="68" t="s">
        <v>55</v>
      </c>
      <c r="H49" s="68" t="s">
        <v>55</v>
      </c>
      <c r="I49" s="68" t="s">
        <v>55</v>
      </c>
      <c r="J49" s="68" t="s">
        <v>55</v>
      </c>
      <c r="K49" s="68" t="s">
        <v>55</v>
      </c>
      <c r="L49" s="68" t="s">
        <v>55</v>
      </c>
      <c r="M49" s="68" t="s">
        <v>55</v>
      </c>
      <c r="N49" s="68" t="s">
        <v>55</v>
      </c>
      <c r="O49" s="68" t="s">
        <v>55</v>
      </c>
      <c r="P49" s="68" t="s">
        <v>55</v>
      </c>
      <c r="Q49" s="68" t="s">
        <v>55</v>
      </c>
      <c r="R49" s="68" t="s">
        <v>55</v>
      </c>
      <c r="S49" s="68" t="s">
        <v>55</v>
      </c>
      <c r="T49" s="68" t="s">
        <v>55</v>
      </c>
      <c r="U49" s="68" t="s">
        <v>55</v>
      </c>
      <c r="V49" s="68" t="s">
        <v>55</v>
      </c>
      <c r="W49" s="68" t="s">
        <v>55</v>
      </c>
      <c r="X49" s="68" t="s">
        <v>55</v>
      </c>
      <c r="Y49" s="68" t="s">
        <v>55</v>
      </c>
      <c r="Z49" s="68" t="s">
        <v>55</v>
      </c>
      <c r="AA49" s="68" t="s">
        <v>55</v>
      </c>
      <c r="AB49" s="68" t="s">
        <v>55</v>
      </c>
    </row>
    <row r="50" spans="1:28" ht="13.5">
      <c r="A50" s="168"/>
      <c r="B50" s="12"/>
      <c r="C50" s="12" t="s">
        <v>21</v>
      </c>
      <c r="D50" s="12"/>
      <c r="E50" s="12"/>
      <c r="F50" s="55">
        <v>38.327316076294281</v>
      </c>
      <c r="G50" s="55">
        <v>37.0372573575454</v>
      </c>
      <c r="H50" s="55">
        <v>36.845648090169064</v>
      </c>
      <c r="I50" s="55">
        <v>37.110833593506086</v>
      </c>
      <c r="J50" s="55">
        <v>38.18833146337554</v>
      </c>
      <c r="K50" s="55">
        <v>38.02782825583467</v>
      </c>
      <c r="L50" s="55">
        <v>37.824980574980572</v>
      </c>
      <c r="M50" s="55">
        <v>37.027456027456026</v>
      </c>
      <c r="N50" s="55">
        <v>36.165569030262873</v>
      </c>
      <c r="O50" s="55">
        <v>36.611438299438667</v>
      </c>
      <c r="P50" s="55">
        <v>36.041019698725378</v>
      </c>
      <c r="Q50" s="55">
        <v>35.493804068272155</v>
      </c>
      <c r="R50" s="55">
        <v>34.536155202821867</v>
      </c>
      <c r="S50" s="55">
        <v>31.795605514094927</v>
      </c>
      <c r="T50" s="55">
        <v>28.006514975886329</v>
      </c>
      <c r="U50" s="55">
        <v>29.756495188041349</v>
      </c>
      <c r="V50" s="55">
        <v>30.73802710729402</v>
      </c>
      <c r="W50" s="55">
        <v>32.048702034056383</v>
      </c>
      <c r="X50" s="55">
        <v>32.379727372479657</v>
      </c>
      <c r="Y50" s="55">
        <v>32.211616831336237</v>
      </c>
      <c r="Z50" s="55">
        <v>31.631476979815783</v>
      </c>
      <c r="AA50" s="55">
        <v>31.493662218870259</v>
      </c>
      <c r="AB50" s="55">
        <v>32.773558782101503</v>
      </c>
    </row>
    <row r="51" spans="1:28" ht="13.5">
      <c r="A51" s="168"/>
      <c r="B51" s="12"/>
      <c r="C51" s="12"/>
      <c r="D51" s="12" t="s">
        <v>23</v>
      </c>
      <c r="E51" s="12"/>
      <c r="F51" s="55">
        <v>35.906420587470755</v>
      </c>
      <c r="G51" s="55">
        <v>34.050958505217181</v>
      </c>
      <c r="H51" s="55">
        <v>33.698476915754405</v>
      </c>
      <c r="I51" s="55">
        <v>33.96834219429676</v>
      </c>
      <c r="J51" s="55">
        <v>35.268664169787762</v>
      </c>
      <c r="K51" s="55">
        <v>35.111986494091163</v>
      </c>
      <c r="L51" s="55">
        <v>34.772093023255813</v>
      </c>
      <c r="M51" s="55">
        <v>35.565834104224486</v>
      </c>
      <c r="N51" s="55">
        <v>34.912963981042658</v>
      </c>
      <c r="O51" s="55">
        <v>35.326077213650045</v>
      </c>
      <c r="P51" s="55">
        <v>34.861523869743912</v>
      </c>
      <c r="Q51" s="55">
        <v>34.246363061353577</v>
      </c>
      <c r="R51" s="55">
        <v>33.454465334900121</v>
      </c>
      <c r="S51" s="55">
        <v>32.059911342219308</v>
      </c>
      <c r="T51" s="55">
        <v>27.329387359507923</v>
      </c>
      <c r="U51" s="55">
        <v>29.247668159078255</v>
      </c>
      <c r="V51" s="55">
        <v>30.206531544360345</v>
      </c>
      <c r="W51" s="55">
        <v>31.537112247571574</v>
      </c>
      <c r="X51" s="55">
        <v>31.722869715000922</v>
      </c>
      <c r="Y51" s="55">
        <v>31.484049182371976</v>
      </c>
      <c r="Z51" s="55">
        <v>30.966978926892526</v>
      </c>
      <c r="AA51" s="55">
        <v>30.919575369052584</v>
      </c>
      <c r="AB51" s="55">
        <v>32.315973316929671</v>
      </c>
    </row>
    <row r="52" spans="1:28" ht="13.5">
      <c r="A52" s="168"/>
      <c r="B52" s="12"/>
      <c r="C52" s="12"/>
      <c r="D52" s="12" t="s">
        <v>24</v>
      </c>
      <c r="E52" s="12"/>
      <c r="F52" s="55">
        <v>42.926419753086421</v>
      </c>
      <c r="G52" s="55">
        <v>42.465813850904276</v>
      </c>
      <c r="H52" s="55">
        <v>42.895242451967064</v>
      </c>
      <c r="I52" s="55">
        <v>42.844356261022931</v>
      </c>
      <c r="J52" s="55">
        <v>43.422560429722473</v>
      </c>
      <c r="K52" s="55">
        <v>43.060806216610004</v>
      </c>
      <c r="L52" s="55">
        <v>42.944877795111807</v>
      </c>
      <c r="M52" s="55">
        <v>40.367864693446087</v>
      </c>
      <c r="N52" s="55">
        <v>39.076358296622615</v>
      </c>
      <c r="O52" s="55">
        <v>39.894521668029434</v>
      </c>
      <c r="P52" s="55">
        <v>39.279513888888886</v>
      </c>
      <c r="Q52" s="55">
        <v>39.031390134529147</v>
      </c>
      <c r="R52" s="55">
        <v>37.78886925795053</v>
      </c>
      <c r="S52" s="55">
        <v>30.878401360544217</v>
      </c>
      <c r="T52" s="55">
        <v>42.484240687679083</v>
      </c>
      <c r="U52" s="55">
        <v>40.558376811594201</v>
      </c>
      <c r="V52" s="55">
        <v>40.308064516129029</v>
      </c>
      <c r="W52" s="55">
        <v>40.955448440993791</v>
      </c>
      <c r="X52" s="55">
        <v>45.952268931034482</v>
      </c>
      <c r="Y52" s="55">
        <v>47.199510400000001</v>
      </c>
      <c r="Z52" s="55">
        <v>48.711845681830596</v>
      </c>
      <c r="AA52" s="55">
        <v>48.834267782426778</v>
      </c>
      <c r="AB52" s="55">
        <v>48.501645569620251</v>
      </c>
    </row>
    <row r="53" spans="1:28" ht="13.5">
      <c r="A53" s="168"/>
      <c r="B53" s="12"/>
      <c r="C53" s="12" t="s">
        <v>25</v>
      </c>
      <c r="D53" s="12"/>
      <c r="E53" s="12"/>
      <c r="F53" s="55">
        <v>33.172413793103445</v>
      </c>
      <c r="G53" s="55">
        <v>33.107142857142854</v>
      </c>
      <c r="H53" s="55">
        <v>34.5</v>
      </c>
      <c r="I53" s="55">
        <v>32.888888888888886</v>
      </c>
      <c r="J53" s="55">
        <v>32.357142857142854</v>
      </c>
      <c r="K53" s="55">
        <v>32.615384615384613</v>
      </c>
      <c r="L53" s="55">
        <v>31.458333333333332</v>
      </c>
      <c r="M53" s="55">
        <v>32.208333333333336</v>
      </c>
      <c r="N53" s="55">
        <v>32</v>
      </c>
      <c r="O53" s="55">
        <v>32.521739130434781</v>
      </c>
      <c r="P53" s="55">
        <v>32.666666666666664</v>
      </c>
      <c r="Q53" s="55">
        <v>33.647058823529413</v>
      </c>
      <c r="R53" s="55">
        <v>32</v>
      </c>
      <c r="S53" s="55">
        <v>32.846153846153847</v>
      </c>
      <c r="T53" s="55">
        <v>33</v>
      </c>
      <c r="U53" s="55">
        <v>32.435000000000002</v>
      </c>
      <c r="V53" s="55">
        <v>30.986666666666665</v>
      </c>
      <c r="W53" s="55">
        <v>32.371430250000003</v>
      </c>
      <c r="X53" s="55">
        <v>32.862870666666666</v>
      </c>
      <c r="Y53" s="55">
        <v>33.116781500000002</v>
      </c>
      <c r="Z53" s="55">
        <v>31.50970669842247</v>
      </c>
      <c r="AA53" s="55">
        <v>0</v>
      </c>
      <c r="AB53" s="55">
        <v>32.58</v>
      </c>
    </row>
    <row r="54" spans="1:28" ht="13.5">
      <c r="A54" s="168"/>
      <c r="B54" s="12"/>
      <c r="C54" s="12" t="s">
        <v>26</v>
      </c>
      <c r="D54" s="12"/>
      <c r="E54" s="12"/>
      <c r="F54" s="55">
        <v>35.856392564749498</v>
      </c>
      <c r="G54" s="55">
        <v>35.599077690461627</v>
      </c>
      <c r="H54" s="55">
        <v>35.740222492612553</v>
      </c>
      <c r="I54" s="55">
        <v>35.21827495731123</v>
      </c>
      <c r="J54" s="55">
        <v>35.344252264012404</v>
      </c>
      <c r="K54" s="55">
        <v>35.29034578560438</v>
      </c>
      <c r="L54" s="55">
        <v>35.09208614083763</v>
      </c>
      <c r="M54" s="55">
        <v>35.335152057245082</v>
      </c>
      <c r="N54" s="55">
        <v>35.390610410696794</v>
      </c>
      <c r="O54" s="55">
        <v>35.656148769959508</v>
      </c>
      <c r="P54" s="55">
        <v>35.62179809141135</v>
      </c>
      <c r="Q54" s="55">
        <v>35.725154320987656</v>
      </c>
      <c r="R54" s="55">
        <v>35.66593498484373</v>
      </c>
      <c r="S54" s="55">
        <v>35.364098185205457</v>
      </c>
      <c r="T54" s="55">
        <v>34.827231591559283</v>
      </c>
      <c r="U54" s="55">
        <v>34.933220560469884</v>
      </c>
      <c r="V54" s="55">
        <v>35.194386552574215</v>
      </c>
      <c r="W54" s="55">
        <v>35.283521410515569</v>
      </c>
      <c r="X54" s="55">
        <v>35.21996282072741</v>
      </c>
      <c r="Y54" s="55">
        <v>35.156855034466254</v>
      </c>
      <c r="Z54" s="55">
        <v>35.194015432269481</v>
      </c>
      <c r="AA54" s="55">
        <v>35.266487003074012</v>
      </c>
      <c r="AB54" s="55">
        <v>34.452044800682138</v>
      </c>
    </row>
    <row r="55" spans="1:28" ht="13.5">
      <c r="A55" s="168"/>
      <c r="B55" s="12"/>
      <c r="C55" s="12" t="s">
        <v>27</v>
      </c>
      <c r="D55" s="12"/>
      <c r="E55" s="12"/>
      <c r="F55" s="55">
        <v>37.161417322834644</v>
      </c>
      <c r="G55" s="55">
        <v>37.225402504472271</v>
      </c>
      <c r="H55" s="55">
        <v>36.658045977011497</v>
      </c>
      <c r="I55" s="55">
        <v>36.507482993197279</v>
      </c>
      <c r="J55" s="55">
        <v>37.334210526315786</v>
      </c>
      <c r="K55" s="55">
        <v>37.060446780551906</v>
      </c>
      <c r="L55" s="55">
        <v>37.190414507772019</v>
      </c>
      <c r="M55" s="55">
        <v>36.794285714285714</v>
      </c>
      <c r="N55" s="55">
        <v>36.514522821576762</v>
      </c>
      <c r="O55" s="55">
        <v>36.513414634146336</v>
      </c>
      <c r="P55" s="55">
        <v>36.871069182389938</v>
      </c>
      <c r="Q55" s="55">
        <v>36.607843137254903</v>
      </c>
      <c r="R55" s="55">
        <v>36.561936936936938</v>
      </c>
      <c r="S55" s="55">
        <v>36.459545694726664</v>
      </c>
      <c r="T55" s="55">
        <v>36.962462932064113</v>
      </c>
      <c r="U55" s="55">
        <v>37.027599408966147</v>
      </c>
      <c r="V55" s="55">
        <v>35.47098708719485</v>
      </c>
      <c r="W55" s="55">
        <v>36.449702012464421</v>
      </c>
      <c r="X55" s="55">
        <v>36.119144610455308</v>
      </c>
      <c r="Y55" s="55">
        <v>35.542417159793814</v>
      </c>
      <c r="Z55" s="55">
        <v>35.013395872420261</v>
      </c>
      <c r="AA55" s="55">
        <v>35.599138655462191</v>
      </c>
      <c r="AB55" s="55">
        <v>36.604259259259258</v>
      </c>
    </row>
    <row r="56" spans="1:28" ht="13.5">
      <c r="A56" s="168"/>
      <c r="B56" s="12"/>
      <c r="C56" s="12" t="s">
        <v>28</v>
      </c>
      <c r="D56" s="12"/>
      <c r="E56" s="12"/>
      <c r="F56" s="53" t="s">
        <v>55</v>
      </c>
      <c r="G56" s="53" t="s">
        <v>55</v>
      </c>
      <c r="H56" s="53" t="s">
        <v>55</v>
      </c>
      <c r="I56" s="53" t="s">
        <v>55</v>
      </c>
      <c r="J56" s="53" t="s">
        <v>55</v>
      </c>
      <c r="K56" s="53" t="s">
        <v>55</v>
      </c>
      <c r="L56" s="53" t="s">
        <v>55</v>
      </c>
      <c r="M56" s="53" t="s">
        <v>55</v>
      </c>
      <c r="N56" s="53" t="s">
        <v>55</v>
      </c>
      <c r="O56" s="53" t="s">
        <v>55</v>
      </c>
      <c r="P56" s="53" t="s">
        <v>55</v>
      </c>
      <c r="Q56" s="53" t="s">
        <v>55</v>
      </c>
      <c r="R56" s="53" t="s">
        <v>55</v>
      </c>
      <c r="S56" s="53" t="s">
        <v>55</v>
      </c>
      <c r="T56" s="53" t="s">
        <v>55</v>
      </c>
      <c r="U56" s="53" t="s">
        <v>55</v>
      </c>
      <c r="V56" s="53" t="s">
        <v>55</v>
      </c>
      <c r="W56" s="53" t="s">
        <v>55</v>
      </c>
      <c r="X56" s="53" t="s">
        <v>55</v>
      </c>
      <c r="Y56" s="53" t="s">
        <v>55</v>
      </c>
      <c r="Z56" s="53" t="s">
        <v>55</v>
      </c>
      <c r="AA56" s="53" t="s">
        <v>55</v>
      </c>
      <c r="AB56" s="53" t="s">
        <v>55</v>
      </c>
    </row>
    <row r="57" spans="1:28" ht="13.5">
      <c r="A57" s="168"/>
      <c r="B57" s="12"/>
      <c r="C57" s="12" t="s">
        <v>29</v>
      </c>
      <c r="D57" s="12"/>
      <c r="E57" s="12"/>
      <c r="F57" s="55">
        <v>31.015863141524108</v>
      </c>
      <c r="G57" s="55">
        <v>30.296127562642369</v>
      </c>
      <c r="H57" s="55">
        <v>29.914277988101677</v>
      </c>
      <c r="I57" s="55">
        <v>30.209895833333334</v>
      </c>
      <c r="J57" s="55">
        <v>29.967134972403411</v>
      </c>
      <c r="K57" s="55">
        <v>29.892420537897312</v>
      </c>
      <c r="L57" s="55">
        <v>30.077201447527141</v>
      </c>
      <c r="M57" s="55">
        <v>29.928952867425121</v>
      </c>
      <c r="N57" s="55">
        <v>30.149183137210098</v>
      </c>
      <c r="O57" s="55">
        <v>30.464923217969286</v>
      </c>
      <c r="P57" s="55">
        <v>29.420584795321638</v>
      </c>
      <c r="Q57" s="55">
        <v>29.249591789129926</v>
      </c>
      <c r="R57" s="55">
        <v>29.146770143802783</v>
      </c>
      <c r="S57" s="55">
        <v>29.111381491555477</v>
      </c>
      <c r="T57" s="55">
        <v>28.212526671810796</v>
      </c>
      <c r="U57" s="55">
        <v>27.90400341072052</v>
      </c>
      <c r="V57" s="55">
        <v>28.494595188667631</v>
      </c>
      <c r="W57" s="55">
        <v>28.342714622672698</v>
      </c>
      <c r="X57" s="55">
        <v>28.777690807120216</v>
      </c>
      <c r="Y57" s="55">
        <v>28.086792867611138</v>
      </c>
      <c r="Z57" s="55">
        <v>29.157993866598517</v>
      </c>
      <c r="AA57" s="55">
        <v>28.376743961747593</v>
      </c>
      <c r="AB57" s="55">
        <v>29.020641060656796</v>
      </c>
    </row>
    <row r="58" spans="1:28" ht="13.5">
      <c r="A58" s="168"/>
      <c r="B58" s="12"/>
      <c r="C58" s="12" t="s">
        <v>30</v>
      </c>
      <c r="D58" s="12"/>
      <c r="E58" s="12"/>
      <c r="F58" s="55">
        <v>33.39497337156903</v>
      </c>
      <c r="G58" s="55">
        <v>33.794409937888197</v>
      </c>
      <c r="H58" s="55">
        <v>33.311201542086103</v>
      </c>
      <c r="I58" s="55">
        <v>32.712793176972284</v>
      </c>
      <c r="J58" s="55">
        <v>32.604727511490481</v>
      </c>
      <c r="K58" s="55">
        <v>32.522013813943445</v>
      </c>
      <c r="L58" s="55">
        <v>32.88910338910339</v>
      </c>
      <c r="M58" s="55">
        <v>32.729365079365081</v>
      </c>
      <c r="N58" s="55">
        <v>32.736550069358522</v>
      </c>
      <c r="O58" s="55">
        <v>32.08671343805797</v>
      </c>
      <c r="P58" s="55">
        <v>31.156796769851951</v>
      </c>
      <c r="Q58" s="55">
        <v>32.251534788540248</v>
      </c>
      <c r="R58" s="55">
        <v>31.918738528282997</v>
      </c>
      <c r="S58" s="55">
        <v>31.609961287522179</v>
      </c>
      <c r="T58" s="55">
        <v>31.260292666382252</v>
      </c>
      <c r="U58" s="55">
        <v>30.106011035212539</v>
      </c>
      <c r="V58" s="55">
        <v>30.073155038762838</v>
      </c>
      <c r="W58" s="55">
        <v>29.792642708500505</v>
      </c>
      <c r="X58" s="55">
        <v>29.923702407839155</v>
      </c>
      <c r="Y58" s="55">
        <v>29.380546475514549</v>
      </c>
      <c r="Z58" s="55">
        <v>29.369150200028511</v>
      </c>
      <c r="AA58" s="55">
        <v>29.438353345908226</v>
      </c>
      <c r="AB58" s="55">
        <v>29.014884350160564</v>
      </c>
    </row>
    <row r="59" spans="1:28" ht="13.5">
      <c r="A59" s="168"/>
      <c r="B59" s="13"/>
      <c r="C59" s="13" t="s">
        <v>31</v>
      </c>
      <c r="D59" s="13"/>
      <c r="E59" s="13"/>
      <c r="F59" s="53" t="s">
        <v>55</v>
      </c>
      <c r="G59" s="53" t="s">
        <v>55</v>
      </c>
      <c r="H59" s="53" t="s">
        <v>55</v>
      </c>
      <c r="I59" s="53" t="s">
        <v>55</v>
      </c>
      <c r="J59" s="53" t="s">
        <v>55</v>
      </c>
      <c r="K59" s="53" t="s">
        <v>55</v>
      </c>
      <c r="L59" s="53" t="s">
        <v>55</v>
      </c>
      <c r="M59" s="53" t="s">
        <v>55</v>
      </c>
      <c r="N59" s="53" t="s">
        <v>55</v>
      </c>
      <c r="O59" s="53" t="s">
        <v>55</v>
      </c>
      <c r="P59" s="53" t="s">
        <v>55</v>
      </c>
      <c r="Q59" s="53" t="s">
        <v>55</v>
      </c>
      <c r="R59" s="53" t="s">
        <v>55</v>
      </c>
      <c r="S59" s="53" t="s">
        <v>55</v>
      </c>
      <c r="T59" s="53" t="s">
        <v>55</v>
      </c>
      <c r="U59" s="53" t="s">
        <v>55</v>
      </c>
      <c r="V59" s="53" t="s">
        <v>55</v>
      </c>
      <c r="W59" s="53" t="s">
        <v>55</v>
      </c>
      <c r="X59" s="53" t="s">
        <v>55</v>
      </c>
      <c r="Y59" s="53" t="s">
        <v>55</v>
      </c>
      <c r="Z59" s="53" t="s">
        <v>55</v>
      </c>
      <c r="AA59" s="53" t="s">
        <v>55</v>
      </c>
      <c r="AB59" s="53" t="s">
        <v>55</v>
      </c>
    </row>
    <row r="60" spans="1:28" ht="13.5">
      <c r="A60" s="168"/>
      <c r="B60" s="16" t="s">
        <v>130</v>
      </c>
      <c r="C60" s="16"/>
      <c r="D60" s="16"/>
      <c r="E60" s="16"/>
      <c r="F60" s="68" t="s">
        <v>55</v>
      </c>
      <c r="G60" s="68" t="s">
        <v>55</v>
      </c>
      <c r="H60" s="68" t="s">
        <v>55</v>
      </c>
      <c r="I60" s="68" t="s">
        <v>55</v>
      </c>
      <c r="J60" s="68" t="s">
        <v>55</v>
      </c>
      <c r="K60" s="68" t="s">
        <v>55</v>
      </c>
      <c r="L60" s="68" t="s">
        <v>55</v>
      </c>
      <c r="M60" s="68" t="s">
        <v>55</v>
      </c>
      <c r="N60" s="68" t="s">
        <v>55</v>
      </c>
      <c r="O60" s="68" t="s">
        <v>55</v>
      </c>
      <c r="P60" s="68" t="s">
        <v>55</v>
      </c>
      <c r="Q60" s="68" t="s">
        <v>55</v>
      </c>
      <c r="R60" s="68" t="s">
        <v>55</v>
      </c>
      <c r="S60" s="68" t="s">
        <v>55</v>
      </c>
      <c r="T60" s="68" t="s">
        <v>55</v>
      </c>
      <c r="U60" s="68" t="s">
        <v>55</v>
      </c>
      <c r="V60" s="68" t="s">
        <v>55</v>
      </c>
      <c r="W60" s="68" t="s">
        <v>55</v>
      </c>
      <c r="X60" s="68" t="s">
        <v>55</v>
      </c>
      <c r="Y60" s="68" t="s">
        <v>55</v>
      </c>
      <c r="Z60" s="68" t="s">
        <v>55</v>
      </c>
      <c r="AA60" s="68" t="s">
        <v>55</v>
      </c>
      <c r="AB60" s="68" t="s">
        <v>55</v>
      </c>
    </row>
    <row r="61" spans="1:28" ht="13.5">
      <c r="A61" s="168"/>
      <c r="B61" s="12"/>
      <c r="C61" s="12" t="s">
        <v>21</v>
      </c>
      <c r="D61" s="12"/>
      <c r="E61" s="12"/>
      <c r="F61" s="55">
        <v>11.766463796143563</v>
      </c>
      <c r="G61" s="55">
        <v>11.76960487736771</v>
      </c>
      <c r="H61" s="55">
        <v>11.791248603187674</v>
      </c>
      <c r="I61" s="55">
        <v>11.768444397006677</v>
      </c>
      <c r="J61" s="55">
        <v>11.741132522976578</v>
      </c>
      <c r="K61" s="55">
        <v>11.626283448613149</v>
      </c>
      <c r="L61" s="55">
        <v>11.741074937302992</v>
      </c>
      <c r="M61" s="55">
        <v>11.704868861607142</v>
      </c>
      <c r="N61" s="55">
        <v>11.751748320221898</v>
      </c>
      <c r="O61" s="55">
        <v>11.761492734437629</v>
      </c>
      <c r="P61" s="55">
        <v>11.867467454877051</v>
      </c>
      <c r="Q61" s="55">
        <v>11.893554574359898</v>
      </c>
      <c r="R61" s="55">
        <v>11.939176913557493</v>
      </c>
      <c r="S61" s="55">
        <v>11.897989323344525</v>
      </c>
      <c r="T61" s="55">
        <v>12.075632942213758</v>
      </c>
      <c r="U61" s="55">
        <v>11.97832201359982</v>
      </c>
      <c r="V61" s="55">
        <v>12.094133815632437</v>
      </c>
      <c r="W61" s="55">
        <v>12.097830921543352</v>
      </c>
      <c r="X61" s="55">
        <v>11.979907660560654</v>
      </c>
      <c r="Y61" s="55">
        <v>11.85922263381695</v>
      </c>
      <c r="Z61" s="55">
        <v>11.951998587369083</v>
      </c>
      <c r="AA61" s="55">
        <v>11.980615894623552</v>
      </c>
      <c r="AB61" s="55">
        <v>11.950222334984961</v>
      </c>
    </row>
    <row r="62" spans="1:28" ht="13.5">
      <c r="A62" s="168"/>
      <c r="B62" s="12"/>
      <c r="C62" s="12"/>
      <c r="D62" s="12" t="s">
        <v>22</v>
      </c>
      <c r="E62" s="12"/>
      <c r="F62" s="55">
        <v>11.770339452080066</v>
      </c>
      <c r="G62" s="55">
        <v>11.783979638728834</v>
      </c>
      <c r="H62" s="55">
        <v>11.828725789523901</v>
      </c>
      <c r="I62" s="55">
        <v>11.797086468424721</v>
      </c>
      <c r="J62" s="55">
        <v>11.754860453122564</v>
      </c>
      <c r="K62" s="55">
        <v>11.639257284752624</v>
      </c>
      <c r="L62" s="55">
        <v>11.745402713776652</v>
      </c>
      <c r="M62" s="55">
        <v>11.711816136139891</v>
      </c>
      <c r="N62" s="55">
        <v>11.755795180722892</v>
      </c>
      <c r="O62" s="55">
        <v>11.760435613840562</v>
      </c>
      <c r="P62" s="55">
        <v>11.869439316152855</v>
      </c>
      <c r="Q62" s="55">
        <v>11.894821985531067</v>
      </c>
      <c r="R62" s="55">
        <v>11.941663136715027</v>
      </c>
      <c r="S62" s="55">
        <v>11.897695687878677</v>
      </c>
      <c r="T62" s="55">
        <v>12.084589418311388</v>
      </c>
      <c r="U62" s="55">
        <v>11.981822997965905</v>
      </c>
      <c r="V62" s="55">
        <v>12.089987176662783</v>
      </c>
      <c r="W62" s="55">
        <v>12.096587980296876</v>
      </c>
      <c r="X62" s="55">
        <v>11.981918514035474</v>
      </c>
      <c r="Y62" s="55">
        <v>11.859960079120539</v>
      </c>
      <c r="Z62" s="55">
        <v>11.957920712438954</v>
      </c>
      <c r="AA62" s="55">
        <v>11.987124982990931</v>
      </c>
      <c r="AB62" s="55">
        <v>11.955925388604886</v>
      </c>
    </row>
    <row r="63" spans="1:28" ht="13.5">
      <c r="A63" s="168"/>
      <c r="B63" s="12"/>
      <c r="C63" s="12"/>
      <c r="D63" s="12" t="s">
        <v>23</v>
      </c>
      <c r="E63" s="12"/>
      <c r="F63" s="55">
        <v>11.480883602378929</v>
      </c>
      <c r="G63" s="55">
        <v>10.641073080481036</v>
      </c>
      <c r="H63" s="55">
        <v>9.0985432733504705</v>
      </c>
      <c r="I63" s="55">
        <v>9.6464826357969731</v>
      </c>
      <c r="J63" s="55">
        <v>10.533755274261603</v>
      </c>
      <c r="K63" s="55">
        <v>10.409492273730685</v>
      </c>
      <c r="L63" s="55">
        <v>11.258732212160414</v>
      </c>
      <c r="M63" s="55">
        <v>10.848265895953757</v>
      </c>
      <c r="N63" s="55">
        <v>11.228556074766356</v>
      </c>
      <c r="O63" s="55">
        <v>11.951219512195122</v>
      </c>
      <c r="P63" s="55">
        <v>11.498817966903074</v>
      </c>
      <c r="Q63" s="55">
        <v>11.657004830917874</v>
      </c>
      <c r="R63" s="55">
        <v>11.485507246376812</v>
      </c>
      <c r="S63" s="55">
        <v>11.95548206001849</v>
      </c>
      <c r="T63" s="55">
        <v>10.369888311734048</v>
      </c>
      <c r="U63" s="55">
        <v>11.345603372387014</v>
      </c>
      <c r="V63" s="55">
        <v>12.837649501399088</v>
      </c>
      <c r="W63" s="55">
        <v>12.326755778016414</v>
      </c>
      <c r="X63" s="55">
        <v>11.683448065173117</v>
      </c>
      <c r="Y63" s="55">
        <v>11.749725833333335</v>
      </c>
      <c r="Z63" s="55">
        <v>11.059577922077921</v>
      </c>
      <c r="AA63" s="55">
        <v>11.031551345029239</v>
      </c>
      <c r="AB63" s="55">
        <v>11.141810560536939</v>
      </c>
    </row>
    <row r="64" spans="1:28" ht="13.5">
      <c r="A64" s="168"/>
      <c r="B64" s="12"/>
      <c r="C64" s="12" t="s">
        <v>25</v>
      </c>
      <c r="D64" s="12"/>
      <c r="E64" s="12"/>
      <c r="F64" s="55">
        <v>0</v>
      </c>
      <c r="G64" s="55">
        <v>0</v>
      </c>
      <c r="H64" s="55">
        <v>0</v>
      </c>
      <c r="I64" s="55">
        <v>0</v>
      </c>
      <c r="J64" s="55">
        <v>0</v>
      </c>
      <c r="K64" s="55">
        <v>0</v>
      </c>
      <c r="L64" s="55">
        <v>0</v>
      </c>
      <c r="M64" s="55">
        <v>0</v>
      </c>
      <c r="N64" s="55">
        <v>0</v>
      </c>
      <c r="O64" s="55">
        <v>0</v>
      </c>
      <c r="P64" s="55">
        <v>0</v>
      </c>
      <c r="Q64" s="55">
        <v>0</v>
      </c>
      <c r="R64" s="55">
        <v>0</v>
      </c>
      <c r="S64" s="55">
        <v>0</v>
      </c>
      <c r="T64" s="55">
        <v>0</v>
      </c>
      <c r="U64" s="55">
        <v>0</v>
      </c>
      <c r="V64" s="55">
        <v>0</v>
      </c>
      <c r="W64" s="55">
        <v>0</v>
      </c>
      <c r="X64" s="55">
        <v>0</v>
      </c>
      <c r="Y64" s="55">
        <v>0</v>
      </c>
      <c r="Z64" s="55">
        <v>0</v>
      </c>
      <c r="AA64" s="55">
        <v>0</v>
      </c>
      <c r="AB64" s="55">
        <v>0</v>
      </c>
    </row>
    <row r="65" spans="1:28" ht="13.5">
      <c r="A65" s="168"/>
      <c r="B65" s="12"/>
      <c r="C65" s="12" t="s">
        <v>26</v>
      </c>
      <c r="D65" s="12"/>
      <c r="E65" s="12"/>
      <c r="F65" s="55">
        <v>16.579273693534102</v>
      </c>
      <c r="G65" s="55">
        <v>17.558419243986254</v>
      </c>
      <c r="H65" s="55">
        <v>18.016038492381718</v>
      </c>
      <c r="I65" s="55">
        <v>17.524940617577197</v>
      </c>
      <c r="J65" s="55">
        <v>17.421052631578949</v>
      </c>
      <c r="K65" s="55">
        <v>17.568108974358974</v>
      </c>
      <c r="L65" s="55">
        <v>19.436334144363343</v>
      </c>
      <c r="M65" s="55">
        <v>17.516263552960801</v>
      </c>
      <c r="N65" s="55">
        <v>17.62043551088777</v>
      </c>
      <c r="O65" s="55">
        <v>17.963586933790623</v>
      </c>
      <c r="P65" s="55">
        <v>18.760441292356187</v>
      </c>
      <c r="Q65" s="55">
        <v>18.730968218773096</v>
      </c>
      <c r="R65" s="55">
        <v>14.081363004172461</v>
      </c>
      <c r="S65" s="55">
        <v>19.547843665768195</v>
      </c>
      <c r="T65" s="55">
        <v>20.074496644295301</v>
      </c>
      <c r="U65" s="55">
        <v>20.416410940627085</v>
      </c>
      <c r="V65" s="55">
        <v>20.966490416391274</v>
      </c>
      <c r="W65" s="55">
        <v>21.444692608886108</v>
      </c>
      <c r="X65" s="55">
        <v>21.643679003022974</v>
      </c>
      <c r="Y65" s="55">
        <v>22.94325686654479</v>
      </c>
      <c r="Z65" s="55">
        <v>25.02456195244055</v>
      </c>
      <c r="AA65" s="55">
        <v>24.793396827636048</v>
      </c>
      <c r="AB65" s="55">
        <v>23.961210335083688</v>
      </c>
    </row>
    <row r="66" spans="1:28" ht="13.5">
      <c r="A66" s="168"/>
      <c r="B66" s="12"/>
      <c r="C66" s="12" t="s">
        <v>27</v>
      </c>
      <c r="D66" s="12"/>
      <c r="E66" s="12"/>
      <c r="F66" s="55">
        <v>21.8</v>
      </c>
      <c r="G66" s="55">
        <v>26.25</v>
      </c>
      <c r="H66" s="55">
        <v>14.2</v>
      </c>
      <c r="I66" s="55">
        <v>9.6506024096385534</v>
      </c>
      <c r="J66" s="55">
        <v>8.7115384615384617</v>
      </c>
      <c r="K66" s="55">
        <v>9.1979166666666661</v>
      </c>
      <c r="L66" s="55">
        <v>9.1121495327102799</v>
      </c>
      <c r="M66" s="55">
        <v>9.2561983471074374</v>
      </c>
      <c r="N66" s="55">
        <v>8.8897637795275593</v>
      </c>
      <c r="O66" s="55">
        <v>9.2975206611570247</v>
      </c>
      <c r="P66" s="55">
        <v>9.0431034482758612</v>
      </c>
      <c r="Q66" s="55">
        <v>9.1785714285714288</v>
      </c>
      <c r="R66" s="55">
        <v>9.1057692307692299</v>
      </c>
      <c r="S66" s="55">
        <v>8.6060606060606055</v>
      </c>
      <c r="T66" s="55">
        <v>8.779069767441861</v>
      </c>
      <c r="U66" s="55">
        <v>8.5180722891566258</v>
      </c>
      <c r="V66" s="55">
        <v>10.132352941176471</v>
      </c>
      <c r="W66" s="55">
        <v>8.735294117647058</v>
      </c>
      <c r="X66" s="55">
        <v>8.9193548387096779</v>
      </c>
      <c r="Y66" s="55">
        <v>9.0806451612903221</v>
      </c>
      <c r="Z66" s="55">
        <v>20.323529411764707</v>
      </c>
      <c r="AA66" s="55">
        <v>9.1666666666666661</v>
      </c>
      <c r="AB66" s="55">
        <v>9.0256410256410255</v>
      </c>
    </row>
    <row r="67" spans="1:28" ht="13.5">
      <c r="A67" s="168"/>
      <c r="B67" s="12"/>
      <c r="C67" s="12" t="s">
        <v>29</v>
      </c>
      <c r="D67" s="12"/>
      <c r="E67" s="12"/>
      <c r="F67" s="55">
        <v>18.555644515612489</v>
      </c>
      <c r="G67" s="55">
        <v>17.884839650145771</v>
      </c>
      <c r="H67" s="55">
        <v>18.572443181818183</v>
      </c>
      <c r="I67" s="55">
        <v>18.496575342465754</v>
      </c>
      <c r="J67" s="55">
        <v>18.363994743758212</v>
      </c>
      <c r="K67" s="55">
        <v>18.474</v>
      </c>
      <c r="L67" s="55">
        <v>19.09245283018868</v>
      </c>
      <c r="M67" s="55">
        <v>19.162294081757167</v>
      </c>
      <c r="N67" s="55">
        <v>19.097430406852247</v>
      </c>
      <c r="O67" s="55">
        <v>19.081632653061224</v>
      </c>
      <c r="P67" s="55">
        <v>19.076173065204145</v>
      </c>
      <c r="Q67" s="55">
        <v>19.071304347826086</v>
      </c>
      <c r="R67" s="55">
        <v>19.065639269406393</v>
      </c>
      <c r="S67" s="55">
        <v>19.544304973260171</v>
      </c>
      <c r="T67" s="55">
        <v>21.786561277556942</v>
      </c>
      <c r="U67" s="55">
        <v>22.871842333203837</v>
      </c>
      <c r="V67" s="55">
        <v>24.069779416100374</v>
      </c>
      <c r="W67" s="55">
        <v>24.385203847690445</v>
      </c>
      <c r="X67" s="55">
        <v>24.106066379840197</v>
      </c>
      <c r="Y67" s="55">
        <v>25.483636363636364</v>
      </c>
      <c r="Z67" s="55">
        <v>25.265250150693191</v>
      </c>
      <c r="AA67" s="55">
        <v>25.771437635034403</v>
      </c>
      <c r="AB67" s="55">
        <v>25.407278235842107</v>
      </c>
    </row>
    <row r="68" spans="1:28" ht="13.5">
      <c r="A68" s="168"/>
      <c r="B68" s="12"/>
      <c r="C68" s="12" t="s">
        <v>30</v>
      </c>
      <c r="D68" s="12"/>
      <c r="E68" s="12"/>
      <c r="F68" s="55">
        <v>16.108409818569903</v>
      </c>
      <c r="G68" s="55">
        <v>15.532722956934554</v>
      </c>
      <c r="H68" s="55">
        <v>14.909533750869867</v>
      </c>
      <c r="I68" s="55">
        <v>15.155274888558692</v>
      </c>
      <c r="J68" s="55">
        <v>15.527063339731287</v>
      </c>
      <c r="K68" s="55">
        <v>15.259525812619504</v>
      </c>
      <c r="L68" s="55">
        <v>15.272008846295613</v>
      </c>
      <c r="M68" s="55">
        <v>15.357664233576642</v>
      </c>
      <c r="N68" s="55">
        <v>15.310622933117365</v>
      </c>
      <c r="O68" s="55">
        <v>15.988829839582717</v>
      </c>
      <c r="P68" s="55">
        <v>15.203703703703704</v>
      </c>
      <c r="Q68" s="55">
        <v>15.667186039264568</v>
      </c>
      <c r="R68" s="55">
        <v>15.515179113539769</v>
      </c>
      <c r="S68" s="55">
        <v>15.13985496539512</v>
      </c>
      <c r="T68" s="55">
        <v>15.457190534577128</v>
      </c>
      <c r="U68" s="55">
        <v>18.122401808831263</v>
      </c>
      <c r="V68" s="55">
        <v>18.624498863414292</v>
      </c>
      <c r="W68" s="55">
        <v>18.819836158764815</v>
      </c>
      <c r="X68" s="55">
        <v>18.020810704437928</v>
      </c>
      <c r="Y68" s="55">
        <v>18.212154250239614</v>
      </c>
      <c r="Z68" s="55">
        <v>18.53294420921468</v>
      </c>
      <c r="AA68" s="55">
        <v>18.845797008413584</v>
      </c>
      <c r="AB68" s="55">
        <v>18.4620104109535</v>
      </c>
    </row>
    <row r="69" spans="1:28" ht="13.5">
      <c r="A69" s="168"/>
      <c r="B69" s="13"/>
      <c r="C69" s="13" t="s">
        <v>31</v>
      </c>
      <c r="D69" s="13"/>
      <c r="E69" s="13"/>
      <c r="F69" s="54" t="s">
        <v>55</v>
      </c>
      <c r="G69" s="54" t="s">
        <v>55</v>
      </c>
      <c r="H69" s="54" t="s">
        <v>55</v>
      </c>
      <c r="I69" s="54" t="s">
        <v>55</v>
      </c>
      <c r="J69" s="54" t="s">
        <v>55</v>
      </c>
      <c r="K69" s="54" t="s">
        <v>55</v>
      </c>
      <c r="L69" s="54" t="s">
        <v>55</v>
      </c>
      <c r="M69" s="54" t="s">
        <v>55</v>
      </c>
      <c r="N69" s="54" t="s">
        <v>55</v>
      </c>
      <c r="O69" s="54" t="s">
        <v>55</v>
      </c>
      <c r="P69" s="54" t="s">
        <v>55</v>
      </c>
      <c r="Q69" s="54" t="s">
        <v>55</v>
      </c>
      <c r="R69" s="54" t="s">
        <v>55</v>
      </c>
      <c r="S69" s="54" t="s">
        <v>55</v>
      </c>
      <c r="T69" s="54" t="s">
        <v>55</v>
      </c>
      <c r="U69" s="54" t="s">
        <v>55</v>
      </c>
      <c r="V69" s="54" t="s">
        <v>55</v>
      </c>
      <c r="W69" s="54" t="s">
        <v>55</v>
      </c>
      <c r="X69" s="54" t="s">
        <v>55</v>
      </c>
      <c r="Y69" s="54" t="s">
        <v>55</v>
      </c>
      <c r="Z69" s="54" t="s">
        <v>55</v>
      </c>
      <c r="AA69" s="54" t="s">
        <v>55</v>
      </c>
      <c r="AB69" s="54" t="s">
        <v>55</v>
      </c>
    </row>
    <row r="70" spans="1:28" ht="13.5">
      <c r="A70" s="168"/>
      <c r="B70" s="171" t="s">
        <v>33</v>
      </c>
      <c r="C70" s="171"/>
      <c r="D70" s="171"/>
      <c r="E70" s="17" t="s">
        <v>178</v>
      </c>
      <c r="F70" s="17"/>
      <c r="G70" s="17"/>
      <c r="H70" s="17"/>
      <c r="I70" s="17"/>
      <c r="J70" s="17"/>
      <c r="K70" s="17"/>
      <c r="L70" s="17"/>
      <c r="M70" s="17"/>
      <c r="N70" s="17"/>
      <c r="O70" s="17"/>
      <c r="P70" s="17"/>
      <c r="Q70" s="3"/>
      <c r="R70" s="3"/>
      <c r="S70" s="3"/>
    </row>
    <row r="71" spans="1:28" ht="25.5" customHeight="1">
      <c r="A71" s="153"/>
      <c r="B71" s="140"/>
      <c r="C71" s="140"/>
      <c r="D71" s="140"/>
      <c r="E71" s="167" t="s">
        <v>200</v>
      </c>
      <c r="F71" s="167"/>
      <c r="G71" s="167"/>
      <c r="H71" s="167"/>
      <c r="I71" s="167"/>
      <c r="J71" s="167"/>
      <c r="K71" s="167"/>
      <c r="L71" s="167"/>
      <c r="M71" s="167"/>
      <c r="N71" s="167"/>
      <c r="O71" s="167"/>
      <c r="P71" s="167"/>
      <c r="Q71" s="167"/>
      <c r="R71" s="167"/>
      <c r="S71" s="167"/>
      <c r="T71" s="167"/>
      <c r="U71" s="167"/>
      <c r="V71" s="167"/>
      <c r="W71" s="167"/>
      <c r="X71" s="167"/>
      <c r="Y71" s="167"/>
      <c r="Z71" s="167"/>
      <c r="AA71" s="167"/>
      <c r="AB71" s="167"/>
    </row>
    <row r="72" spans="1:28">
      <c r="E72" s="180" t="s">
        <v>189</v>
      </c>
      <c r="F72" s="180"/>
      <c r="G72" s="180"/>
      <c r="H72" s="180"/>
      <c r="I72" s="180"/>
      <c r="J72" s="180"/>
      <c r="K72" s="180"/>
      <c r="L72" s="180"/>
      <c r="M72" s="180"/>
      <c r="N72" s="180"/>
      <c r="O72" s="180"/>
      <c r="P72" s="180"/>
      <c r="Q72" s="190"/>
      <c r="R72" s="190"/>
      <c r="S72" s="190"/>
      <c r="T72" s="190"/>
      <c r="U72" s="190"/>
      <c r="V72" s="110"/>
      <c r="W72" s="110"/>
      <c r="X72" s="110"/>
      <c r="Y72" s="110"/>
      <c r="Z72" s="110"/>
      <c r="AA72" s="110"/>
    </row>
    <row r="73" spans="1:28">
      <c r="E73" s="15" t="s">
        <v>175</v>
      </c>
      <c r="F73" s="110"/>
      <c r="G73" s="110"/>
      <c r="H73" s="110"/>
      <c r="I73" s="110"/>
      <c r="J73" s="110"/>
      <c r="K73" s="110"/>
      <c r="L73" s="110"/>
      <c r="M73" s="110"/>
      <c r="N73" s="110"/>
      <c r="O73" s="110"/>
      <c r="P73" s="110"/>
    </row>
  </sheetData>
  <mergeCells count="7">
    <mergeCell ref="E72:U72"/>
    <mergeCell ref="A1:A36"/>
    <mergeCell ref="A37:A70"/>
    <mergeCell ref="B1:E1"/>
    <mergeCell ref="B5:E5"/>
    <mergeCell ref="B70:D70"/>
    <mergeCell ref="E71:AB71"/>
  </mergeCells>
  <hyperlinks>
    <hyperlink ref="E71:AB71" location="Leer!Druckbereich" display="Ab 2024 gelten für die Schularten des Sek-I-Bereichs neue Bezeichnungen bzw. Zusätze. Zudem kommt es bei den Hauptschulen, Schularten mit zwei Bildungsgängen und Schularten mit drei Bildungsgängen zu Neuzuordnungen." xr:uid="{E5DCB3BD-7307-4DE9-BAA0-DECB8C75DA8F}"/>
  </hyperlinks>
  <printOptions verticalCentered="1"/>
  <pageMargins left="0.23622047244094491" right="0.23622047244094491" top="0.74803149606299213" bottom="0.74803149606299213" header="0.31496062992125984" footer="0.31496062992125984"/>
  <pageSetup paperSize="9" scale="94" orientation="landscape" r:id="rId1"/>
  <rowBreaks count="1" manualBreakCount="1">
    <brk id="36"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22"/>
  <dimension ref="A1:AB72"/>
  <sheetViews>
    <sheetView view="pageBreakPreview" topLeftCell="A49" zoomScale="140" zoomScaleNormal="130" zoomScaleSheetLayoutView="140" workbookViewId="0">
      <selection activeCell="J27" sqref="J27"/>
    </sheetView>
  </sheetViews>
  <sheetFormatPr baseColWidth="10" defaultColWidth="11.42578125" defaultRowHeight="12.75"/>
  <cols>
    <col min="1" max="1" width="2.7109375" style="3" customWidth="1"/>
    <col min="2" max="2" width="3.7109375" style="3" customWidth="1"/>
    <col min="3" max="4" width="2.7109375" style="3" customWidth="1"/>
    <col min="5" max="5" width="17.7109375" style="3" customWidth="1"/>
    <col min="6" max="22" width="6.7109375" style="3" customWidth="1"/>
    <col min="23" max="16384" width="11.42578125" style="3"/>
  </cols>
  <sheetData>
    <row r="1" spans="1:22">
      <c r="A1" s="168">
        <v>83</v>
      </c>
      <c r="B1" s="169" t="s">
        <v>0</v>
      </c>
      <c r="C1" s="169"/>
      <c r="D1" s="169"/>
      <c r="E1" s="169"/>
    </row>
    <row r="2" spans="1:22">
      <c r="A2" s="168"/>
      <c r="B2" s="4" t="s">
        <v>72</v>
      </c>
      <c r="C2" s="4"/>
      <c r="D2" s="4" t="s">
        <v>73</v>
      </c>
      <c r="E2" s="4"/>
    </row>
    <row r="3" spans="1:22">
      <c r="A3" s="168"/>
      <c r="B3" s="5" t="s">
        <v>74</v>
      </c>
      <c r="C3" s="4"/>
      <c r="D3" s="4" t="s">
        <v>186</v>
      </c>
      <c r="E3" s="4"/>
    </row>
    <row r="4" spans="1:22" ht="6" customHeight="1">
      <c r="A4" s="168"/>
    </row>
    <row r="5" spans="1:22" s="7" customFormat="1" ht="18.75" customHeight="1">
      <c r="A5" s="168"/>
      <c r="B5" s="170" t="s">
        <v>126</v>
      </c>
      <c r="C5" s="170"/>
      <c r="D5" s="170"/>
      <c r="E5" s="170"/>
      <c r="F5" s="18" t="s">
        <v>34</v>
      </c>
      <c r="G5" s="18" t="s">
        <v>35</v>
      </c>
      <c r="H5" s="18" t="s">
        <v>36</v>
      </c>
      <c r="I5" s="18" t="s">
        <v>37</v>
      </c>
      <c r="J5" s="18" t="s">
        <v>38</v>
      </c>
      <c r="K5" s="18" t="s">
        <v>39</v>
      </c>
      <c r="L5" s="18" t="s">
        <v>40</v>
      </c>
      <c r="M5" s="18" t="s">
        <v>41</v>
      </c>
      <c r="N5" s="18" t="s">
        <v>42</v>
      </c>
      <c r="O5" s="18" t="s">
        <v>43</v>
      </c>
      <c r="P5" s="18" t="s">
        <v>44</v>
      </c>
      <c r="Q5" s="18" t="s">
        <v>45</v>
      </c>
      <c r="R5" s="18" t="s">
        <v>46</v>
      </c>
      <c r="S5" s="18" t="s">
        <v>47</v>
      </c>
      <c r="T5" s="18" t="s">
        <v>48</v>
      </c>
      <c r="U5" s="18" t="s">
        <v>49</v>
      </c>
      <c r="V5" s="18" t="s">
        <v>50</v>
      </c>
    </row>
    <row r="6" spans="1:22">
      <c r="A6" s="168"/>
      <c r="B6" s="9" t="s">
        <v>120</v>
      </c>
      <c r="C6" s="9"/>
      <c r="D6" s="9"/>
      <c r="E6" s="16"/>
      <c r="F6" s="26" t="s">
        <v>55</v>
      </c>
      <c r="G6" s="26" t="s">
        <v>55</v>
      </c>
      <c r="H6" s="26" t="s">
        <v>55</v>
      </c>
      <c r="I6" s="26" t="s">
        <v>55</v>
      </c>
      <c r="J6" s="26" t="s">
        <v>55</v>
      </c>
      <c r="K6" s="26" t="s">
        <v>55</v>
      </c>
      <c r="L6" s="26" t="s">
        <v>55</v>
      </c>
      <c r="M6" s="26" t="s">
        <v>55</v>
      </c>
      <c r="N6" s="26" t="s">
        <v>55</v>
      </c>
      <c r="O6" s="26" t="s">
        <v>55</v>
      </c>
      <c r="P6" s="26" t="s">
        <v>55</v>
      </c>
      <c r="Q6" s="26" t="s">
        <v>55</v>
      </c>
      <c r="R6" s="26" t="s">
        <v>55</v>
      </c>
      <c r="S6" s="26" t="s">
        <v>55</v>
      </c>
      <c r="T6" s="26" t="s">
        <v>55</v>
      </c>
      <c r="U6" s="26" t="s">
        <v>55</v>
      </c>
      <c r="V6" s="26" t="s">
        <v>55</v>
      </c>
    </row>
    <row r="7" spans="1:22">
      <c r="A7" s="168"/>
      <c r="B7" s="10" t="s">
        <v>119</v>
      </c>
      <c r="C7" s="10"/>
      <c r="D7" s="10"/>
      <c r="E7" s="9"/>
      <c r="F7" s="27" t="s">
        <v>55</v>
      </c>
      <c r="G7" s="27" t="s">
        <v>55</v>
      </c>
      <c r="H7" s="27" t="s">
        <v>55</v>
      </c>
      <c r="I7" s="27" t="s">
        <v>55</v>
      </c>
      <c r="J7" s="27" t="s">
        <v>55</v>
      </c>
      <c r="K7" s="27" t="s">
        <v>55</v>
      </c>
      <c r="L7" s="27" t="s">
        <v>55</v>
      </c>
      <c r="M7" s="27" t="s">
        <v>55</v>
      </c>
      <c r="N7" s="27" t="s">
        <v>55</v>
      </c>
      <c r="O7" s="27" t="s">
        <v>55</v>
      </c>
      <c r="P7" s="27" t="s">
        <v>55</v>
      </c>
      <c r="Q7" s="27" t="s">
        <v>55</v>
      </c>
      <c r="R7" s="27" t="s">
        <v>55</v>
      </c>
      <c r="S7" s="27" t="s">
        <v>55</v>
      </c>
      <c r="T7" s="27" t="s">
        <v>55</v>
      </c>
      <c r="U7" s="27" t="s">
        <v>55</v>
      </c>
      <c r="V7" s="27" t="s">
        <v>55</v>
      </c>
    </row>
    <row r="8" spans="1:22">
      <c r="A8" s="168"/>
      <c r="B8" s="11" t="s">
        <v>3</v>
      </c>
      <c r="C8" s="11"/>
      <c r="D8" s="11"/>
      <c r="E8" s="11"/>
      <c r="F8" s="32">
        <v>45.42919216646267</v>
      </c>
      <c r="G8" s="32">
        <v>36.235793882010192</v>
      </c>
      <c r="H8" s="32">
        <v>31.347305389221557</v>
      </c>
      <c r="I8" s="32">
        <v>41.517635397965293</v>
      </c>
      <c r="J8" s="32">
        <v>40.65</v>
      </c>
      <c r="K8" s="32">
        <v>42.470225872689937</v>
      </c>
      <c r="L8" s="32">
        <v>52.616701461377872</v>
      </c>
      <c r="M8" s="32">
        <v>31.537037037037038</v>
      </c>
      <c r="N8" s="32">
        <v>34.002657807308971</v>
      </c>
      <c r="O8" s="32">
        <v>46.97021384928717</v>
      </c>
      <c r="P8" s="32">
        <v>57.22529644268775</v>
      </c>
      <c r="Q8" s="32">
        <v>47.761194029850749</v>
      </c>
      <c r="R8" s="32">
        <v>33.019692603266087</v>
      </c>
      <c r="S8" s="32">
        <v>28.832413793103449</v>
      </c>
      <c r="T8" s="32">
        <v>44.005698005698008</v>
      </c>
      <c r="U8" s="32">
        <v>28.189403973509933</v>
      </c>
      <c r="V8" s="32">
        <v>41.786652633306744</v>
      </c>
    </row>
    <row r="9" spans="1:22">
      <c r="A9" s="168"/>
      <c r="B9" s="12"/>
      <c r="C9" s="12" t="s">
        <v>4</v>
      </c>
      <c r="D9" s="12"/>
      <c r="E9" s="12"/>
      <c r="F9" s="33">
        <v>33.831640849110727</v>
      </c>
      <c r="G9" s="33">
        <v>36.590997137404578</v>
      </c>
      <c r="H9" s="33">
        <v>48.609756097560975</v>
      </c>
      <c r="I9" s="33">
        <v>31.865348564001302</v>
      </c>
      <c r="J9" s="33">
        <v>50.916666666666664</v>
      </c>
      <c r="K9" s="33">
        <v>58.62999561297211</v>
      </c>
      <c r="L9" s="33">
        <v>73.955665024630548</v>
      </c>
      <c r="M9" s="33">
        <v>28.423676012461058</v>
      </c>
      <c r="N9" s="33">
        <v>32.371024734982335</v>
      </c>
      <c r="O9" s="33">
        <v>56.637480798771122</v>
      </c>
      <c r="P9" s="33">
        <v>31.423627684964199</v>
      </c>
      <c r="Q9" s="33">
        <v>35.08064516129032</v>
      </c>
      <c r="R9" s="33">
        <v>33.019211324570271</v>
      </c>
      <c r="S9" s="33">
        <v>23.513978494623657</v>
      </c>
      <c r="T9" s="33">
        <v>39.217391304347828</v>
      </c>
      <c r="U9" s="33">
        <v>0</v>
      </c>
      <c r="V9" s="33">
        <v>38.336918382334602</v>
      </c>
    </row>
    <row r="10" spans="1:22">
      <c r="A10" s="168"/>
      <c r="B10" s="13"/>
      <c r="C10" s="13" t="s">
        <v>5</v>
      </c>
      <c r="D10" s="13"/>
      <c r="E10" s="13"/>
      <c r="F10" s="35">
        <v>49.646703525975383</v>
      </c>
      <c r="G10" s="35">
        <v>36.016563604240282</v>
      </c>
      <c r="H10" s="35">
        <v>30.719858156028369</v>
      </c>
      <c r="I10" s="35">
        <v>47.286627724576839</v>
      </c>
      <c r="J10" s="35">
        <v>38.838235294117645</v>
      </c>
      <c r="K10" s="35">
        <v>39.712188248747552</v>
      </c>
      <c r="L10" s="35">
        <v>45.340425531914896</v>
      </c>
      <c r="M10" s="35">
        <v>33.580777096114517</v>
      </c>
      <c r="N10" s="35">
        <v>34.171983865053171</v>
      </c>
      <c r="O10" s="35">
        <v>45.049740616417452</v>
      </c>
      <c r="P10" s="35">
        <v>80.39978563772776</v>
      </c>
      <c r="Q10" s="35">
        <v>53.417266187050359</v>
      </c>
      <c r="R10" s="35">
        <v>33.020128087831658</v>
      </c>
      <c r="S10" s="35">
        <v>31.343147208121827</v>
      </c>
      <c r="T10" s="35">
        <v>44.943781942078367</v>
      </c>
      <c r="U10" s="35">
        <v>0</v>
      </c>
      <c r="V10" s="35">
        <v>42.245330814729321</v>
      </c>
    </row>
    <row r="11" spans="1:22" hidden="1">
      <c r="A11" s="168"/>
      <c r="B11" s="13"/>
      <c r="C11" s="13"/>
      <c r="D11" s="13"/>
      <c r="E11" s="13"/>
      <c r="F11" s="35"/>
      <c r="G11" s="35"/>
      <c r="H11" s="35"/>
      <c r="I11" s="35"/>
      <c r="J11" s="35"/>
      <c r="K11" s="35"/>
      <c r="L11" s="35"/>
      <c r="M11" s="35"/>
      <c r="N11" s="35"/>
      <c r="O11" s="35"/>
      <c r="P11" s="35"/>
      <c r="Q11" s="35"/>
      <c r="R11" s="35"/>
      <c r="S11" s="35"/>
      <c r="T11" s="35"/>
      <c r="U11" s="35"/>
      <c r="V11" s="35"/>
    </row>
    <row r="12" spans="1:22">
      <c r="A12" s="168"/>
      <c r="B12" s="11" t="s">
        <v>6</v>
      </c>
      <c r="C12" s="11"/>
      <c r="D12" s="11"/>
      <c r="E12" s="11"/>
      <c r="F12" s="32">
        <v>41.14616193480547</v>
      </c>
      <c r="G12" s="32">
        <v>0</v>
      </c>
      <c r="H12" s="32">
        <v>0</v>
      </c>
      <c r="I12" s="32">
        <v>0</v>
      </c>
      <c r="J12" s="32">
        <v>31</v>
      </c>
      <c r="K12" s="32">
        <v>29.753401360544217</v>
      </c>
      <c r="L12" s="32">
        <v>22.989159891598916</v>
      </c>
      <c r="M12" s="32">
        <v>0</v>
      </c>
      <c r="N12" s="32">
        <v>20.939814814814813</v>
      </c>
      <c r="O12" s="32">
        <v>18.820083682008367</v>
      </c>
      <c r="P12" s="32">
        <v>17.142857142857142</v>
      </c>
      <c r="Q12" s="32">
        <v>38</v>
      </c>
      <c r="R12" s="32">
        <v>0</v>
      </c>
      <c r="S12" s="32">
        <v>0</v>
      </c>
      <c r="T12" s="32">
        <v>0</v>
      </c>
      <c r="U12" s="32">
        <v>0</v>
      </c>
      <c r="V12" s="32">
        <v>31.334176148335441</v>
      </c>
    </row>
    <row r="13" spans="1:22">
      <c r="A13" s="168"/>
      <c r="B13" s="12"/>
      <c r="C13" s="12" t="s">
        <v>7</v>
      </c>
      <c r="D13" s="12"/>
      <c r="E13" s="12"/>
      <c r="F13" s="33">
        <v>0</v>
      </c>
      <c r="G13" s="33">
        <v>0</v>
      </c>
      <c r="H13" s="33">
        <v>0</v>
      </c>
      <c r="I13" s="33">
        <v>0</v>
      </c>
      <c r="J13" s="33">
        <v>31</v>
      </c>
      <c r="K13" s="33">
        <v>29.753401360544217</v>
      </c>
      <c r="L13" s="33">
        <v>0</v>
      </c>
      <c r="M13" s="33">
        <v>0</v>
      </c>
      <c r="N13" s="33">
        <v>0</v>
      </c>
      <c r="O13" s="33">
        <v>0</v>
      </c>
      <c r="P13" s="33">
        <v>0</v>
      </c>
      <c r="Q13" s="33">
        <v>0</v>
      </c>
      <c r="R13" s="33">
        <v>0</v>
      </c>
      <c r="S13" s="33">
        <v>0</v>
      </c>
      <c r="T13" s="33">
        <v>0</v>
      </c>
      <c r="U13" s="33">
        <v>0</v>
      </c>
      <c r="V13" s="33">
        <v>29.755517826825127</v>
      </c>
    </row>
    <row r="14" spans="1:22">
      <c r="A14" s="168"/>
      <c r="B14" s="13"/>
      <c r="C14" s="13" t="s">
        <v>8</v>
      </c>
      <c r="D14" s="13"/>
      <c r="E14" s="13"/>
      <c r="F14" s="35">
        <v>41.14616193480547</v>
      </c>
      <c r="G14" s="35">
        <v>0</v>
      </c>
      <c r="H14" s="35">
        <v>0</v>
      </c>
      <c r="I14" s="35">
        <v>0</v>
      </c>
      <c r="J14" s="35">
        <v>0</v>
      </c>
      <c r="K14" s="35">
        <v>0</v>
      </c>
      <c r="L14" s="35">
        <v>22.989159891598916</v>
      </c>
      <c r="M14" s="35">
        <v>0</v>
      </c>
      <c r="N14" s="35">
        <v>20.939814814814813</v>
      </c>
      <c r="O14" s="35">
        <v>18.820083682008367</v>
      </c>
      <c r="P14" s="35">
        <v>17.142857142857142</v>
      </c>
      <c r="Q14" s="35">
        <v>38</v>
      </c>
      <c r="R14" s="35">
        <v>0</v>
      </c>
      <c r="S14" s="35">
        <v>0</v>
      </c>
      <c r="T14" s="35">
        <v>0</v>
      </c>
      <c r="U14" s="35">
        <v>0</v>
      </c>
      <c r="V14" s="33">
        <v>31.855381165919283</v>
      </c>
    </row>
    <row r="15" spans="1:22">
      <c r="A15" s="168"/>
      <c r="B15" s="11" t="s">
        <v>123</v>
      </c>
      <c r="C15" s="11"/>
      <c r="D15" s="11"/>
      <c r="E15" s="11"/>
      <c r="F15" s="32">
        <v>28.629311262052916</v>
      </c>
      <c r="G15" s="32">
        <v>29.761144968485112</v>
      </c>
      <c r="H15" s="32">
        <v>37.963969465648852</v>
      </c>
      <c r="I15" s="32">
        <v>31.157201989997784</v>
      </c>
      <c r="J15" s="32">
        <v>32.386053199137308</v>
      </c>
      <c r="K15" s="32">
        <v>38.437889039242222</v>
      </c>
      <c r="L15" s="32">
        <v>34.377913641574324</v>
      </c>
      <c r="M15" s="32">
        <v>30.448537005163512</v>
      </c>
      <c r="N15" s="32">
        <v>30.150533049040511</v>
      </c>
      <c r="O15" s="32">
        <v>36.914589575581971</v>
      </c>
      <c r="P15" s="32">
        <v>31.016674440298509</v>
      </c>
      <c r="Q15" s="32">
        <v>35.566554809843403</v>
      </c>
      <c r="R15" s="32">
        <v>30.807275223061083</v>
      </c>
      <c r="S15" s="32">
        <v>28.552519893899206</v>
      </c>
      <c r="T15" s="32">
        <v>32.833735386899242</v>
      </c>
      <c r="U15" s="32">
        <v>28.023115313895456</v>
      </c>
      <c r="V15" s="34">
        <v>32.313439590504885</v>
      </c>
    </row>
    <row r="16" spans="1:22">
      <c r="A16" s="168"/>
      <c r="B16" s="12"/>
      <c r="C16" s="12" t="s">
        <v>9</v>
      </c>
      <c r="D16" s="12"/>
      <c r="E16" s="12"/>
      <c r="F16" s="33">
        <v>28.284721381814183</v>
      </c>
      <c r="G16" s="33">
        <v>29.747139423076923</v>
      </c>
      <c r="H16" s="33">
        <v>37.411389215521588</v>
      </c>
      <c r="I16" s="33">
        <v>31.146311665332604</v>
      </c>
      <c r="J16" s="33">
        <v>32.393038433647568</v>
      </c>
      <c r="K16" s="33">
        <v>38.416764361078549</v>
      </c>
      <c r="L16" s="33">
        <v>34.229752574150915</v>
      </c>
      <c r="M16" s="33">
        <v>30.493060374739763</v>
      </c>
      <c r="N16" s="33">
        <v>30.026071450531884</v>
      </c>
      <c r="O16" s="33">
        <v>36.975684294445919</v>
      </c>
      <c r="P16" s="33">
        <v>31.000702740688684</v>
      </c>
      <c r="Q16" s="33">
        <v>35.553611738148987</v>
      </c>
      <c r="R16" s="33">
        <v>30.8312300651782</v>
      </c>
      <c r="S16" s="33">
        <v>28.534809282475326</v>
      </c>
      <c r="T16" s="33">
        <v>32.678437265214122</v>
      </c>
      <c r="U16" s="33">
        <v>28.126440266828382</v>
      </c>
      <c r="V16" s="33">
        <v>32.277893766085533</v>
      </c>
    </row>
    <row r="17" spans="1:22">
      <c r="A17" s="168"/>
      <c r="B17" s="12"/>
      <c r="C17" s="12" t="s">
        <v>187</v>
      </c>
      <c r="D17" s="12"/>
      <c r="E17" s="12"/>
      <c r="F17" s="33">
        <v>29.628238944918543</v>
      </c>
      <c r="G17" s="33">
        <v>0</v>
      </c>
      <c r="H17" s="33">
        <v>44.702247191011239</v>
      </c>
      <c r="I17" s="33">
        <v>32.447679708826207</v>
      </c>
      <c r="J17" s="33">
        <v>0</v>
      </c>
      <c r="K17" s="33">
        <v>37.188755020080322</v>
      </c>
      <c r="L17" s="33">
        <v>0</v>
      </c>
      <c r="M17" s="33">
        <v>0</v>
      </c>
      <c r="N17" s="33">
        <v>45.456140350877192</v>
      </c>
      <c r="O17" s="33">
        <v>33.79032258064516</v>
      </c>
      <c r="P17" s="33">
        <v>0</v>
      </c>
      <c r="Q17" s="33">
        <v>0</v>
      </c>
      <c r="R17" s="33">
        <v>23.454545454545453</v>
      </c>
      <c r="S17" s="33">
        <v>0</v>
      </c>
      <c r="T17" s="33">
        <v>0</v>
      </c>
      <c r="U17" s="33">
        <v>27.207392197125255</v>
      </c>
      <c r="V17" s="33">
        <v>32.084372952187842</v>
      </c>
    </row>
    <row r="18" spans="1:22">
      <c r="A18" s="168"/>
      <c r="B18" s="13"/>
      <c r="C18" s="13" t="s">
        <v>11</v>
      </c>
      <c r="D18" s="13"/>
      <c r="E18" s="13"/>
      <c r="F18" s="35">
        <v>41.092364864864862</v>
      </c>
      <c r="G18" s="35">
        <v>32.324719999999999</v>
      </c>
      <c r="H18" s="35">
        <v>33.063492063492063</v>
      </c>
      <c r="I18" s="35">
        <v>30.430666666666664</v>
      </c>
      <c r="J18" s="35">
        <v>31.583333333333332</v>
      </c>
      <c r="K18" s="35">
        <v>49.705882352941174</v>
      </c>
      <c r="L18" s="35">
        <v>61.535211267605632</v>
      </c>
      <c r="M18" s="35">
        <v>24.869565217391305</v>
      </c>
      <c r="N18" s="35">
        <v>42.273684210526319</v>
      </c>
      <c r="O18" s="35">
        <v>28.887804878048779</v>
      </c>
      <c r="P18" s="35">
        <v>34.60526315789474</v>
      </c>
      <c r="Q18" s="35">
        <v>37</v>
      </c>
      <c r="R18" s="35">
        <v>30.596153846153847</v>
      </c>
      <c r="S18" s="35">
        <v>31.714285714285715</v>
      </c>
      <c r="T18" s="35">
        <v>45.553846153846152</v>
      </c>
      <c r="U18" s="35">
        <v>30.59090909090909</v>
      </c>
      <c r="V18" s="35">
        <v>37.624871575342468</v>
      </c>
    </row>
    <row r="19" spans="1:22">
      <c r="A19" s="168"/>
      <c r="B19" s="11" t="s">
        <v>124</v>
      </c>
      <c r="C19" s="11"/>
      <c r="D19" s="11"/>
      <c r="E19" s="11"/>
      <c r="F19" s="32">
        <v>38.835475905849371</v>
      </c>
      <c r="G19" s="32">
        <v>38.019600268051597</v>
      </c>
      <c r="H19" s="32">
        <v>42.071942446043167</v>
      </c>
      <c r="I19" s="32">
        <v>39.846515884883438</v>
      </c>
      <c r="J19" s="32">
        <v>42.500577367205544</v>
      </c>
      <c r="K19" s="32">
        <v>44.35790518739141</v>
      </c>
      <c r="L19" s="32">
        <v>37.138575529003404</v>
      </c>
      <c r="M19" s="32">
        <v>36.159610027855152</v>
      </c>
      <c r="N19" s="32">
        <v>40.138032305433185</v>
      </c>
      <c r="O19" s="32">
        <v>42.10032140787186</v>
      </c>
      <c r="P19" s="32">
        <v>39.311193254014093</v>
      </c>
      <c r="Q19" s="32">
        <v>42.171059709521245</v>
      </c>
      <c r="R19" s="32">
        <v>35.287075149947079</v>
      </c>
      <c r="S19" s="32">
        <v>34.393891402714935</v>
      </c>
      <c r="T19" s="32">
        <v>37.599940950693828</v>
      </c>
      <c r="U19" s="32">
        <v>32.648949579831935</v>
      </c>
      <c r="V19" s="32">
        <v>39.231618232242823</v>
      </c>
    </row>
    <row r="20" spans="1:22">
      <c r="A20" s="168"/>
      <c r="B20" s="12"/>
      <c r="C20" s="12" t="s">
        <v>12</v>
      </c>
      <c r="D20" s="12"/>
      <c r="E20" s="12"/>
      <c r="F20" s="33">
        <v>0</v>
      </c>
      <c r="G20" s="33">
        <v>46.952380952380949</v>
      </c>
      <c r="H20" s="33">
        <v>33.284515903530234</v>
      </c>
      <c r="I20" s="33">
        <v>37.2303066049138</v>
      </c>
      <c r="J20" s="33">
        <v>0</v>
      </c>
      <c r="K20" s="33">
        <v>53.913043478260867</v>
      </c>
      <c r="L20" s="33">
        <v>39.14473684210526</v>
      </c>
      <c r="M20" s="33">
        <v>0</v>
      </c>
      <c r="N20" s="33">
        <v>0</v>
      </c>
      <c r="O20" s="33">
        <v>0</v>
      </c>
      <c r="P20" s="33">
        <v>0</v>
      </c>
      <c r="Q20" s="33">
        <v>0</v>
      </c>
      <c r="R20" s="33">
        <v>0</v>
      </c>
      <c r="S20" s="33">
        <v>0</v>
      </c>
      <c r="T20" s="33">
        <v>0</v>
      </c>
      <c r="U20" s="33">
        <v>0</v>
      </c>
      <c r="V20" s="33">
        <v>35.617654958785792</v>
      </c>
    </row>
    <row r="21" spans="1:22">
      <c r="A21" s="168"/>
      <c r="B21" s="12"/>
      <c r="C21" s="12" t="s">
        <v>13</v>
      </c>
      <c r="D21" s="12"/>
      <c r="E21" s="12"/>
      <c r="F21" s="33">
        <v>36.836797385620919</v>
      </c>
      <c r="G21" s="33">
        <v>0</v>
      </c>
      <c r="H21" s="33">
        <v>0</v>
      </c>
      <c r="I21" s="33">
        <v>0</v>
      </c>
      <c r="J21" s="33">
        <v>0</v>
      </c>
      <c r="K21" s="33">
        <v>0</v>
      </c>
      <c r="L21" s="33">
        <v>31.301441677588468</v>
      </c>
      <c r="M21" s="33">
        <v>0</v>
      </c>
      <c r="N21" s="33">
        <v>45.70988654781199</v>
      </c>
      <c r="O21" s="33">
        <v>53.046861564918316</v>
      </c>
      <c r="P21" s="33">
        <v>41.3125</v>
      </c>
      <c r="Q21" s="33">
        <v>0</v>
      </c>
      <c r="R21" s="33">
        <v>0</v>
      </c>
      <c r="S21" s="33">
        <v>0</v>
      </c>
      <c r="T21" s="33">
        <v>0</v>
      </c>
      <c r="U21" s="33">
        <v>0</v>
      </c>
      <c r="V21" s="33">
        <v>42.282067054211169</v>
      </c>
    </row>
    <row r="22" spans="1:22">
      <c r="A22" s="168"/>
      <c r="B22" s="12"/>
      <c r="C22" s="12" t="s">
        <v>188</v>
      </c>
      <c r="D22" s="12"/>
      <c r="E22" s="12"/>
      <c r="F22" s="33">
        <v>0</v>
      </c>
      <c r="G22" s="33">
        <v>39.097211914062498</v>
      </c>
      <c r="H22" s="33">
        <v>0</v>
      </c>
      <c r="I22" s="33">
        <v>43.564798325653122</v>
      </c>
      <c r="J22" s="33">
        <v>0</v>
      </c>
      <c r="K22" s="33">
        <v>0</v>
      </c>
      <c r="L22" s="33">
        <v>37.302325581395351</v>
      </c>
      <c r="M22" s="33">
        <v>35.012195121951223</v>
      </c>
      <c r="N22" s="33">
        <v>41.289326887318708</v>
      </c>
      <c r="O22" s="33">
        <v>0</v>
      </c>
      <c r="P22" s="33">
        <v>40.148018333782687</v>
      </c>
      <c r="Q22" s="33">
        <v>23.428571428571427</v>
      </c>
      <c r="R22" s="33">
        <v>34.55321592649311</v>
      </c>
      <c r="S22" s="33">
        <v>32.815519013360742</v>
      </c>
      <c r="T22" s="33">
        <v>0</v>
      </c>
      <c r="U22" s="33">
        <v>31.884895359417651</v>
      </c>
      <c r="V22" s="33">
        <v>37.907757858343885</v>
      </c>
    </row>
    <row r="23" spans="1:22">
      <c r="A23" s="168"/>
      <c r="B23" s="12"/>
      <c r="C23" s="12" t="s">
        <v>15</v>
      </c>
      <c r="D23" s="12"/>
      <c r="E23" s="12"/>
      <c r="F23" s="33">
        <v>38.106777332570118</v>
      </c>
      <c r="G23" s="33">
        <v>37.48172881718132</v>
      </c>
      <c r="H23" s="33">
        <v>0</v>
      </c>
      <c r="I23" s="33">
        <v>0</v>
      </c>
      <c r="J23" s="33">
        <v>0</v>
      </c>
      <c r="K23" s="33">
        <v>0</v>
      </c>
      <c r="L23" s="33">
        <v>37.402091597547781</v>
      </c>
      <c r="M23" s="33">
        <v>0</v>
      </c>
      <c r="N23" s="33">
        <v>35.985358132172536</v>
      </c>
      <c r="O23" s="33">
        <v>41.723948566836327</v>
      </c>
      <c r="P23" s="33">
        <v>38.858585858585862</v>
      </c>
      <c r="Q23" s="33">
        <v>36.794871794871796</v>
      </c>
      <c r="R23" s="33">
        <v>0</v>
      </c>
      <c r="S23" s="33">
        <v>0</v>
      </c>
      <c r="T23" s="33">
        <v>0</v>
      </c>
      <c r="U23" s="33">
        <v>0</v>
      </c>
      <c r="V23" s="33">
        <v>38.554042196270728</v>
      </c>
    </row>
    <row r="24" spans="1:22">
      <c r="A24" s="168"/>
      <c r="B24" s="12"/>
      <c r="C24" s="12" t="s">
        <v>16</v>
      </c>
      <c r="D24" s="12"/>
      <c r="E24" s="12"/>
      <c r="F24" s="33">
        <v>37.315442016389376</v>
      </c>
      <c r="G24" s="33"/>
      <c r="H24" s="33">
        <v>46.125737898465168</v>
      </c>
      <c r="I24" s="33">
        <v>35.032760032760031</v>
      </c>
      <c r="J24" s="33">
        <v>36.481751824817515</v>
      </c>
      <c r="K24" s="33">
        <v>37.685909373060213</v>
      </c>
      <c r="L24" s="33">
        <v>36.411038852759717</v>
      </c>
      <c r="M24" s="33">
        <v>37.832923832923832</v>
      </c>
      <c r="N24" s="33">
        <v>36.483308931185945</v>
      </c>
      <c r="O24" s="33">
        <v>35.484960569474495</v>
      </c>
      <c r="P24" s="33">
        <v>35.445744369698744</v>
      </c>
      <c r="Q24" s="33">
        <v>32.821162444113263</v>
      </c>
      <c r="R24" s="33">
        <v>36.320603337612326</v>
      </c>
      <c r="S24" s="33">
        <v>34.554812834224599</v>
      </c>
      <c r="T24" s="33">
        <v>32.365653245686111</v>
      </c>
      <c r="U24" s="33">
        <v>32.182316655243319</v>
      </c>
      <c r="V24" s="33">
        <v>36.34775336391565</v>
      </c>
    </row>
    <row r="25" spans="1:22">
      <c r="A25" s="168"/>
      <c r="B25" s="12"/>
      <c r="C25" s="12" t="s">
        <v>187</v>
      </c>
      <c r="D25" s="12"/>
      <c r="E25" s="12"/>
      <c r="F25" s="33">
        <v>43.817282229965159</v>
      </c>
      <c r="G25" s="33">
        <v>42.557215189873411</v>
      </c>
      <c r="H25" s="33">
        <v>47.198802053622359</v>
      </c>
      <c r="I25" s="33">
        <v>44.960103528817626</v>
      </c>
      <c r="J25" s="33">
        <v>43.850388143966128</v>
      </c>
      <c r="K25" s="33">
        <v>48.786545924967662</v>
      </c>
      <c r="L25" s="33">
        <v>40.468569693288792</v>
      </c>
      <c r="M25" s="33">
        <v>39.607526881720432</v>
      </c>
      <c r="N25" s="33">
        <v>47.282623394185258</v>
      </c>
      <c r="O25" s="33">
        <v>47.850717921446481</v>
      </c>
      <c r="P25" s="33">
        <v>46.425735294117644</v>
      </c>
      <c r="Q25" s="33">
        <v>47.937219730941706</v>
      </c>
      <c r="R25" s="33">
        <v>34.031746031746032</v>
      </c>
      <c r="S25" s="33">
        <v>37.232731137088201</v>
      </c>
      <c r="T25" s="33">
        <v>40.415489642184561</v>
      </c>
      <c r="U25" s="33">
        <v>34.409133271202236</v>
      </c>
      <c r="V25" s="33">
        <v>45.070920453706066</v>
      </c>
    </row>
    <row r="26" spans="1:22">
      <c r="A26" s="168"/>
      <c r="B26" s="12"/>
      <c r="C26" s="12" t="s">
        <v>11</v>
      </c>
      <c r="D26" s="12"/>
      <c r="E26" s="12"/>
      <c r="F26" s="33">
        <v>41.092363977485931</v>
      </c>
      <c r="G26" s="33">
        <v>46.007570621468929</v>
      </c>
      <c r="H26" s="33">
        <v>57.441860465116278</v>
      </c>
      <c r="I26" s="33">
        <v>49.871192052980135</v>
      </c>
      <c r="J26" s="33">
        <v>44.666666666666664</v>
      </c>
      <c r="K26" s="33">
        <v>57.666666666666664</v>
      </c>
      <c r="L26" s="33">
        <v>50.93</v>
      </c>
      <c r="M26" s="33">
        <v>39.384615384615387</v>
      </c>
      <c r="N26" s="33">
        <v>49.035460992907801</v>
      </c>
      <c r="O26" s="33">
        <v>59.126245847176079</v>
      </c>
      <c r="P26" s="33">
        <v>47.629629629629626</v>
      </c>
      <c r="Q26" s="33">
        <v>50.2</v>
      </c>
      <c r="R26" s="33">
        <v>52.397058823529413</v>
      </c>
      <c r="S26" s="33">
        <v>41.121212121212125</v>
      </c>
      <c r="T26" s="33">
        <v>46.076086956521742</v>
      </c>
      <c r="U26" s="33">
        <v>48.366666666666667</v>
      </c>
      <c r="V26" s="33">
        <v>48.421677448643734</v>
      </c>
    </row>
    <row r="27" spans="1:22">
      <c r="A27" s="168"/>
      <c r="B27" s="12"/>
      <c r="C27" s="12" t="s">
        <v>17</v>
      </c>
      <c r="D27" s="12"/>
      <c r="E27" s="12"/>
      <c r="F27" s="33">
        <v>0</v>
      </c>
      <c r="G27" s="33">
        <v>0</v>
      </c>
      <c r="H27" s="33">
        <v>28.125</v>
      </c>
      <c r="I27" s="33">
        <v>0</v>
      </c>
      <c r="J27" s="33">
        <v>31</v>
      </c>
      <c r="K27" s="33">
        <v>0</v>
      </c>
      <c r="L27" s="33">
        <v>21.863636363636363</v>
      </c>
      <c r="M27" s="33">
        <v>0</v>
      </c>
      <c r="N27" s="33">
        <v>0</v>
      </c>
      <c r="O27" s="33">
        <v>0</v>
      </c>
      <c r="P27" s="33">
        <v>0</v>
      </c>
      <c r="Q27" s="33">
        <v>0</v>
      </c>
      <c r="R27" s="33">
        <v>0</v>
      </c>
      <c r="S27" s="33">
        <v>0</v>
      </c>
      <c r="T27" s="33">
        <v>0</v>
      </c>
      <c r="U27" s="33">
        <v>0</v>
      </c>
      <c r="V27" s="33">
        <v>25.511111111111113</v>
      </c>
    </row>
    <row r="28" spans="1:22">
      <c r="A28" s="168"/>
      <c r="B28" s="13"/>
      <c r="C28" s="13" t="s">
        <v>18</v>
      </c>
      <c r="D28" s="13"/>
      <c r="E28" s="13"/>
      <c r="F28" s="35">
        <v>21.138000000000002</v>
      </c>
      <c r="G28" s="35">
        <v>22.933333333333334</v>
      </c>
      <c r="H28" s="35">
        <v>21.026315789473685</v>
      </c>
      <c r="I28" s="35">
        <v>0</v>
      </c>
      <c r="J28" s="35">
        <v>28.625</v>
      </c>
      <c r="K28" s="35">
        <v>30.785714285714285</v>
      </c>
      <c r="L28" s="35">
        <v>23.837499999999999</v>
      </c>
      <c r="M28" s="35">
        <v>0</v>
      </c>
      <c r="N28" s="35">
        <v>0</v>
      </c>
      <c r="O28" s="35">
        <v>18.836461126005361</v>
      </c>
      <c r="P28" s="35">
        <v>0</v>
      </c>
      <c r="Q28" s="35">
        <v>34.5</v>
      </c>
      <c r="R28" s="35">
        <v>20.5625</v>
      </c>
      <c r="S28" s="35">
        <v>18.75</v>
      </c>
      <c r="T28" s="35">
        <v>0</v>
      </c>
      <c r="U28" s="35">
        <v>0</v>
      </c>
      <c r="V28" s="33">
        <v>22.21614420062696</v>
      </c>
    </row>
    <row r="29" spans="1:22">
      <c r="A29" s="168"/>
      <c r="B29" s="9" t="s">
        <v>125</v>
      </c>
      <c r="C29" s="9"/>
      <c r="D29" s="9"/>
      <c r="E29" s="9"/>
      <c r="F29" s="31" t="s">
        <v>55</v>
      </c>
      <c r="G29" s="31" t="s">
        <v>55</v>
      </c>
      <c r="H29" s="31" t="s">
        <v>55</v>
      </c>
      <c r="I29" s="31" t="s">
        <v>55</v>
      </c>
      <c r="J29" s="31" t="s">
        <v>55</v>
      </c>
      <c r="K29" s="31" t="s">
        <v>55</v>
      </c>
      <c r="L29" s="31" t="s">
        <v>55</v>
      </c>
      <c r="M29" s="31" t="s">
        <v>55</v>
      </c>
      <c r="N29" s="31" t="s">
        <v>55</v>
      </c>
      <c r="O29" s="31" t="s">
        <v>55</v>
      </c>
      <c r="P29" s="31" t="s">
        <v>55</v>
      </c>
      <c r="Q29" s="31" t="s">
        <v>55</v>
      </c>
      <c r="R29" s="31" t="s">
        <v>55</v>
      </c>
      <c r="S29" s="31" t="s">
        <v>55</v>
      </c>
      <c r="T29" s="31" t="s">
        <v>55</v>
      </c>
      <c r="U29" s="31" t="s">
        <v>55</v>
      </c>
      <c r="V29" s="31" t="s">
        <v>55</v>
      </c>
    </row>
    <row r="30" spans="1:22" ht="25.5" customHeight="1">
      <c r="A30" s="168"/>
      <c r="B30" s="183" t="s">
        <v>132</v>
      </c>
      <c r="C30" s="183"/>
      <c r="D30" s="183"/>
      <c r="E30" s="183"/>
      <c r="F30" s="32" t="s">
        <v>55</v>
      </c>
      <c r="G30" s="32" t="s">
        <v>55</v>
      </c>
      <c r="H30" s="32" t="s">
        <v>55</v>
      </c>
      <c r="I30" s="32" t="s">
        <v>55</v>
      </c>
      <c r="J30" s="32" t="s">
        <v>55</v>
      </c>
      <c r="K30" s="32" t="s">
        <v>55</v>
      </c>
      <c r="L30" s="32" t="s">
        <v>55</v>
      </c>
      <c r="M30" s="32" t="s">
        <v>55</v>
      </c>
      <c r="N30" s="32" t="s">
        <v>55</v>
      </c>
      <c r="O30" s="32" t="s">
        <v>55</v>
      </c>
      <c r="P30" s="32" t="s">
        <v>55</v>
      </c>
      <c r="Q30" s="32" t="s">
        <v>55</v>
      </c>
      <c r="R30" s="32" t="s">
        <v>55</v>
      </c>
      <c r="S30" s="32" t="s">
        <v>55</v>
      </c>
      <c r="T30" s="32" t="s">
        <v>55</v>
      </c>
      <c r="U30" s="32" t="s">
        <v>55</v>
      </c>
      <c r="V30" s="32" t="s">
        <v>55</v>
      </c>
    </row>
    <row r="31" spans="1:22">
      <c r="A31" s="168"/>
      <c r="B31" s="12"/>
      <c r="C31" s="12" t="s">
        <v>16</v>
      </c>
      <c r="D31" s="12"/>
      <c r="E31" s="12"/>
      <c r="F31" s="33" t="s">
        <v>55</v>
      </c>
      <c r="G31" s="33" t="s">
        <v>55</v>
      </c>
      <c r="H31" s="33" t="s">
        <v>55</v>
      </c>
      <c r="I31" s="33" t="s">
        <v>55</v>
      </c>
      <c r="J31" s="33" t="s">
        <v>55</v>
      </c>
      <c r="K31" s="33" t="s">
        <v>55</v>
      </c>
      <c r="L31" s="33" t="s">
        <v>55</v>
      </c>
      <c r="M31" s="33" t="s">
        <v>55</v>
      </c>
      <c r="N31" s="33" t="s">
        <v>55</v>
      </c>
      <c r="O31" s="33" t="s">
        <v>55</v>
      </c>
      <c r="P31" s="33" t="s">
        <v>55</v>
      </c>
      <c r="Q31" s="33" t="s">
        <v>55</v>
      </c>
      <c r="R31" s="33" t="s">
        <v>55</v>
      </c>
      <c r="S31" s="33" t="s">
        <v>55</v>
      </c>
      <c r="T31" s="33" t="s">
        <v>55</v>
      </c>
      <c r="U31" s="33" t="s">
        <v>55</v>
      </c>
      <c r="V31" s="33" t="s">
        <v>55</v>
      </c>
    </row>
    <row r="32" spans="1:22">
      <c r="A32" s="168"/>
      <c r="B32" s="12"/>
      <c r="C32" s="12" t="s">
        <v>187</v>
      </c>
      <c r="D32" s="12"/>
      <c r="E32" s="12"/>
      <c r="F32" s="33" t="s">
        <v>55</v>
      </c>
      <c r="G32" s="33" t="s">
        <v>55</v>
      </c>
      <c r="H32" s="33" t="s">
        <v>55</v>
      </c>
      <c r="I32" s="33" t="s">
        <v>55</v>
      </c>
      <c r="J32" s="33" t="s">
        <v>55</v>
      </c>
      <c r="K32" s="33" t="s">
        <v>55</v>
      </c>
      <c r="L32" s="33" t="s">
        <v>55</v>
      </c>
      <c r="M32" s="33" t="s">
        <v>55</v>
      </c>
      <c r="N32" s="33" t="s">
        <v>55</v>
      </c>
      <c r="O32" s="33" t="s">
        <v>55</v>
      </c>
      <c r="P32" s="33" t="s">
        <v>55</v>
      </c>
      <c r="Q32" s="33" t="s">
        <v>55</v>
      </c>
      <c r="R32" s="33" t="s">
        <v>55</v>
      </c>
      <c r="S32" s="33" t="s">
        <v>55</v>
      </c>
      <c r="T32" s="33" t="s">
        <v>55</v>
      </c>
      <c r="U32" s="33" t="s">
        <v>55</v>
      </c>
      <c r="V32" s="33" t="s">
        <v>55</v>
      </c>
    </row>
    <row r="33" spans="1:22">
      <c r="A33" s="168"/>
      <c r="B33" s="12"/>
      <c r="C33" s="12" t="s">
        <v>11</v>
      </c>
      <c r="D33" s="12"/>
      <c r="E33" s="12"/>
      <c r="F33" s="33" t="s">
        <v>55</v>
      </c>
      <c r="G33" s="33" t="s">
        <v>55</v>
      </c>
      <c r="H33" s="33" t="s">
        <v>55</v>
      </c>
      <c r="I33" s="33" t="s">
        <v>55</v>
      </c>
      <c r="J33" s="33" t="s">
        <v>55</v>
      </c>
      <c r="K33" s="33" t="s">
        <v>55</v>
      </c>
      <c r="L33" s="33" t="s">
        <v>55</v>
      </c>
      <c r="M33" s="33" t="s">
        <v>55</v>
      </c>
      <c r="N33" s="33" t="s">
        <v>55</v>
      </c>
      <c r="O33" s="33" t="s">
        <v>55</v>
      </c>
      <c r="P33" s="33" t="s">
        <v>55</v>
      </c>
      <c r="Q33" s="33" t="s">
        <v>55</v>
      </c>
      <c r="R33" s="33" t="s">
        <v>55</v>
      </c>
      <c r="S33" s="33" t="s">
        <v>55</v>
      </c>
      <c r="T33" s="33" t="s">
        <v>55</v>
      </c>
      <c r="U33" s="33" t="s">
        <v>55</v>
      </c>
      <c r="V33" s="33" t="s">
        <v>55</v>
      </c>
    </row>
    <row r="34" spans="1:22">
      <c r="A34" s="168"/>
      <c r="B34" s="12"/>
      <c r="C34" s="12" t="s">
        <v>19</v>
      </c>
      <c r="D34" s="12"/>
      <c r="E34" s="12"/>
      <c r="F34" s="33" t="s">
        <v>55</v>
      </c>
      <c r="G34" s="33" t="s">
        <v>55</v>
      </c>
      <c r="H34" s="33" t="s">
        <v>55</v>
      </c>
      <c r="I34" s="33" t="s">
        <v>55</v>
      </c>
      <c r="J34" s="33" t="s">
        <v>55</v>
      </c>
      <c r="K34" s="33" t="s">
        <v>55</v>
      </c>
      <c r="L34" s="33" t="s">
        <v>55</v>
      </c>
      <c r="M34" s="33" t="s">
        <v>55</v>
      </c>
      <c r="N34" s="33" t="s">
        <v>55</v>
      </c>
      <c r="O34" s="33" t="s">
        <v>55</v>
      </c>
      <c r="P34" s="33" t="s">
        <v>55</v>
      </c>
      <c r="Q34" s="33" t="s">
        <v>55</v>
      </c>
      <c r="R34" s="33" t="s">
        <v>55</v>
      </c>
      <c r="S34" s="33" t="s">
        <v>55</v>
      </c>
      <c r="T34" s="33" t="s">
        <v>55</v>
      </c>
      <c r="U34" s="33" t="s">
        <v>55</v>
      </c>
      <c r="V34" s="33" t="s">
        <v>55</v>
      </c>
    </row>
    <row r="35" spans="1:22">
      <c r="A35" s="168"/>
      <c r="B35" s="14"/>
      <c r="C35" s="14" t="s">
        <v>20</v>
      </c>
      <c r="D35" s="14"/>
      <c r="E35" s="14"/>
      <c r="F35" s="35" t="s">
        <v>55</v>
      </c>
      <c r="G35" s="35" t="s">
        <v>55</v>
      </c>
      <c r="H35" s="35" t="s">
        <v>55</v>
      </c>
      <c r="I35" s="35" t="s">
        <v>55</v>
      </c>
      <c r="J35" s="35" t="s">
        <v>55</v>
      </c>
      <c r="K35" s="35" t="s">
        <v>55</v>
      </c>
      <c r="L35" s="35" t="s">
        <v>55</v>
      </c>
      <c r="M35" s="35" t="s">
        <v>55</v>
      </c>
      <c r="N35" s="35" t="s">
        <v>55</v>
      </c>
      <c r="O35" s="35" t="s">
        <v>55</v>
      </c>
      <c r="P35" s="35" t="s">
        <v>55</v>
      </c>
      <c r="Q35" s="35" t="s">
        <v>55</v>
      </c>
      <c r="R35" s="35" t="s">
        <v>55</v>
      </c>
      <c r="S35" s="35" t="s">
        <v>55</v>
      </c>
      <c r="T35" s="35" t="s">
        <v>55</v>
      </c>
      <c r="U35" s="35" t="s">
        <v>55</v>
      </c>
      <c r="V35" s="35" t="s">
        <v>55</v>
      </c>
    </row>
    <row r="36" spans="1:22" ht="8.25" customHeight="1">
      <c r="A36" s="168"/>
      <c r="B36" s="15"/>
      <c r="C36" s="15"/>
      <c r="D36" s="15"/>
      <c r="E36" s="15"/>
      <c r="F36" s="33"/>
      <c r="G36" s="33"/>
      <c r="H36" s="33"/>
      <c r="I36" s="33"/>
      <c r="J36" s="33"/>
      <c r="K36" s="33"/>
      <c r="L36" s="33"/>
      <c r="M36" s="33"/>
      <c r="N36" s="33"/>
      <c r="O36" s="33"/>
      <c r="P36" s="33"/>
      <c r="Q36" s="33"/>
      <c r="R36" s="33"/>
      <c r="S36" s="33"/>
      <c r="T36" s="33"/>
      <c r="U36" s="33"/>
      <c r="V36" s="33"/>
    </row>
    <row r="37" spans="1:22" ht="12.75" customHeight="1">
      <c r="A37" s="168">
        <v>84</v>
      </c>
      <c r="B37" s="11" t="s">
        <v>128</v>
      </c>
      <c r="C37" s="11"/>
      <c r="D37" s="11"/>
      <c r="E37" s="11"/>
      <c r="F37" s="32" t="s">
        <v>55</v>
      </c>
      <c r="G37" s="32" t="s">
        <v>55</v>
      </c>
      <c r="H37" s="32" t="s">
        <v>55</v>
      </c>
      <c r="I37" s="32" t="s">
        <v>55</v>
      </c>
      <c r="J37" s="32" t="s">
        <v>55</v>
      </c>
      <c r="K37" s="32" t="s">
        <v>55</v>
      </c>
      <c r="L37" s="32" t="s">
        <v>55</v>
      </c>
      <c r="M37" s="32" t="s">
        <v>55</v>
      </c>
      <c r="N37" s="32" t="s">
        <v>55</v>
      </c>
      <c r="O37" s="32" t="s">
        <v>55</v>
      </c>
      <c r="P37" s="32" t="s">
        <v>55</v>
      </c>
      <c r="Q37" s="32" t="s">
        <v>55</v>
      </c>
      <c r="R37" s="32" t="s">
        <v>55</v>
      </c>
      <c r="S37" s="32" t="s">
        <v>55</v>
      </c>
      <c r="T37" s="32" t="s">
        <v>55</v>
      </c>
      <c r="U37" s="32" t="s">
        <v>55</v>
      </c>
      <c r="V37" s="32" t="s">
        <v>55</v>
      </c>
    </row>
    <row r="38" spans="1:22">
      <c r="A38" s="168"/>
      <c r="B38" s="12"/>
      <c r="C38" s="12" t="s">
        <v>21</v>
      </c>
      <c r="D38" s="12"/>
      <c r="E38" s="12"/>
      <c r="F38" s="33">
        <v>17.398154913068957</v>
      </c>
      <c r="G38" s="33">
        <v>14.523851548801872</v>
      </c>
      <c r="H38" s="33">
        <v>18.195948578106741</v>
      </c>
      <c r="I38" s="33">
        <v>12.225808684707363</v>
      </c>
      <c r="J38" s="33">
        <v>15.299902629016554</v>
      </c>
      <c r="K38" s="33">
        <v>14.80516795865633</v>
      </c>
      <c r="L38" s="33">
        <v>13.065852450899488</v>
      </c>
      <c r="M38" s="33">
        <v>12.855371900826446</v>
      </c>
      <c r="N38" s="33">
        <v>13.111059350565027</v>
      </c>
      <c r="O38" s="33">
        <v>12.829789672760617</v>
      </c>
      <c r="P38" s="33">
        <v>12.458119218910586</v>
      </c>
      <c r="Q38" s="33">
        <v>15.757402101241643</v>
      </c>
      <c r="R38" s="33">
        <v>15.918583535108958</v>
      </c>
      <c r="S38" s="33">
        <v>12.731789949181254</v>
      </c>
      <c r="T38" s="33">
        <v>13.563784849338214</v>
      </c>
      <c r="U38" s="33">
        <v>13.607798165137615</v>
      </c>
      <c r="V38" s="33">
        <v>14.182847447001228</v>
      </c>
    </row>
    <row r="39" spans="1:22">
      <c r="A39" s="168"/>
      <c r="B39" s="12"/>
      <c r="C39" s="12"/>
      <c r="D39" s="12" t="s">
        <v>22</v>
      </c>
      <c r="E39" s="12"/>
      <c r="F39" s="33">
        <v>13.505392718113121</v>
      </c>
      <c r="G39" s="33">
        <v>12.782906866464341</v>
      </c>
      <c r="H39" s="33">
        <v>14.353481624758221</v>
      </c>
      <c r="I39" s="33">
        <v>12.225808684707363</v>
      </c>
      <c r="J39" s="33">
        <v>12.908543922984355</v>
      </c>
      <c r="K39" s="33">
        <v>11.43966623876765</v>
      </c>
      <c r="L39" s="33">
        <v>11.638839125761375</v>
      </c>
      <c r="M39" s="33">
        <v>11.734032411820781</v>
      </c>
      <c r="N39" s="33">
        <v>10.358446576813794</v>
      </c>
      <c r="O39" s="33">
        <v>11.235345527186466</v>
      </c>
      <c r="P39" s="33">
        <v>10.608264930653835</v>
      </c>
      <c r="Q39" s="33">
        <v>12.269024651661308</v>
      </c>
      <c r="R39" s="33">
        <v>14.44750254841998</v>
      </c>
      <c r="S39" s="33">
        <v>10.616240995415849</v>
      </c>
      <c r="T39" s="33">
        <v>11.285423728813559</v>
      </c>
      <c r="U39" s="33">
        <v>11.731615336266499</v>
      </c>
      <c r="V39" s="33">
        <v>11.955925388604886</v>
      </c>
    </row>
    <row r="40" spans="1:22">
      <c r="A40" s="168"/>
      <c r="B40" s="12"/>
      <c r="C40" s="12"/>
      <c r="D40" s="12" t="s">
        <v>23</v>
      </c>
      <c r="E40" s="12"/>
      <c r="F40" s="33">
        <v>39.664228187919463</v>
      </c>
      <c r="G40" s="33">
        <v>24.232268774703556</v>
      </c>
      <c r="H40" s="33">
        <v>34.120240480961925</v>
      </c>
      <c r="I40" s="33">
        <v>0</v>
      </c>
      <c r="J40" s="33">
        <v>25.438775510204081</v>
      </c>
      <c r="K40" s="33">
        <v>28.713527851458885</v>
      </c>
      <c r="L40" s="33">
        <v>29.765199161425578</v>
      </c>
      <c r="M40" s="33">
        <v>20.161490683229815</v>
      </c>
      <c r="N40" s="33">
        <v>35.589072085434331</v>
      </c>
      <c r="O40" s="33">
        <v>30.690909090909091</v>
      </c>
      <c r="P40" s="33">
        <v>30.662952646239553</v>
      </c>
      <c r="Q40" s="33">
        <v>44.307017543859651</v>
      </c>
      <c r="R40" s="33">
        <v>27.091194968553459</v>
      </c>
      <c r="S40" s="33">
        <v>25.971311475409838</v>
      </c>
      <c r="T40" s="33">
        <v>24.483870967741936</v>
      </c>
      <c r="U40" s="33">
        <v>33.117647058823529</v>
      </c>
      <c r="V40" s="33">
        <v>31.116900440062178</v>
      </c>
    </row>
    <row r="41" spans="1:22">
      <c r="A41" s="168"/>
      <c r="B41" s="12"/>
      <c r="C41" s="12"/>
      <c r="D41" s="12" t="s">
        <v>24</v>
      </c>
      <c r="E41" s="12"/>
      <c r="F41" s="33">
        <v>76.179285714285712</v>
      </c>
      <c r="G41" s="33">
        <v>50.686785714285712</v>
      </c>
      <c r="H41" s="33">
        <v>0</v>
      </c>
      <c r="I41" s="33">
        <v>0</v>
      </c>
      <c r="J41" s="33">
        <v>0</v>
      </c>
      <c r="K41" s="33">
        <v>0</v>
      </c>
      <c r="L41" s="33">
        <v>0</v>
      </c>
      <c r="M41" s="33">
        <v>0</v>
      </c>
      <c r="N41" s="33">
        <v>0</v>
      </c>
      <c r="O41" s="33">
        <v>0</v>
      </c>
      <c r="P41" s="33">
        <v>0</v>
      </c>
      <c r="Q41" s="33">
        <v>0</v>
      </c>
      <c r="R41" s="33">
        <v>33.97674418604651</v>
      </c>
      <c r="S41" s="33">
        <v>0</v>
      </c>
      <c r="T41" s="33">
        <v>37.666666666666664</v>
      </c>
      <c r="U41" s="33">
        <v>0</v>
      </c>
      <c r="V41" s="33">
        <v>48.501645569620251</v>
      </c>
    </row>
    <row r="42" spans="1:22">
      <c r="A42" s="168"/>
      <c r="B42" s="12"/>
      <c r="C42" s="12" t="s">
        <v>25</v>
      </c>
      <c r="D42" s="12"/>
      <c r="E42" s="12"/>
      <c r="F42" s="33">
        <v>32.58</v>
      </c>
      <c r="G42" s="33">
        <v>0</v>
      </c>
      <c r="H42" s="33">
        <v>0</v>
      </c>
      <c r="I42" s="33">
        <v>0</v>
      </c>
      <c r="J42" s="33">
        <v>0</v>
      </c>
      <c r="K42" s="33">
        <v>0</v>
      </c>
      <c r="L42" s="33">
        <v>0</v>
      </c>
      <c r="M42" s="33">
        <v>0</v>
      </c>
      <c r="N42" s="33">
        <v>0</v>
      </c>
      <c r="O42" s="33">
        <v>0</v>
      </c>
      <c r="P42" s="33">
        <v>0</v>
      </c>
      <c r="Q42" s="33">
        <v>0</v>
      </c>
      <c r="R42" s="33">
        <v>0</v>
      </c>
      <c r="S42" s="33">
        <v>0</v>
      </c>
      <c r="T42" s="33">
        <v>0</v>
      </c>
      <c r="U42" s="33">
        <v>0</v>
      </c>
      <c r="V42" s="33">
        <v>32.58</v>
      </c>
    </row>
    <row r="43" spans="1:22">
      <c r="A43" s="168"/>
      <c r="B43" s="12"/>
      <c r="C43" s="12" t="s">
        <v>26</v>
      </c>
      <c r="D43" s="12"/>
      <c r="E43" s="12"/>
      <c r="F43" s="33">
        <v>34.731160657136762</v>
      </c>
      <c r="G43" s="33">
        <v>43.835396096440881</v>
      </c>
      <c r="H43" s="33">
        <v>38.830053667262966</v>
      </c>
      <c r="I43" s="33">
        <v>25.110685483870967</v>
      </c>
      <c r="J43" s="33">
        <v>34.143749999999997</v>
      </c>
      <c r="K43" s="33">
        <v>29.753424657534246</v>
      </c>
      <c r="L43" s="33">
        <v>34.773445732349842</v>
      </c>
      <c r="M43" s="33">
        <v>29.074148296593187</v>
      </c>
      <c r="N43" s="33">
        <v>31.829228726909044</v>
      </c>
      <c r="O43" s="33">
        <v>35.01619520621896</v>
      </c>
      <c r="P43" s="33">
        <v>29.680161943319838</v>
      </c>
      <c r="Q43" s="33">
        <v>35.067357512953365</v>
      </c>
      <c r="R43" s="33">
        <v>28.184107002360346</v>
      </c>
      <c r="S43" s="33">
        <v>27.930939226519335</v>
      </c>
      <c r="T43" s="33">
        <v>32.310344827586206</v>
      </c>
      <c r="U43" s="33">
        <v>26.890243902439025</v>
      </c>
      <c r="V43" s="33">
        <v>33.493032635435185</v>
      </c>
    </row>
    <row r="44" spans="1:22">
      <c r="A44" s="168"/>
      <c r="B44" s="12"/>
      <c r="C44" s="12" t="s">
        <v>27</v>
      </c>
      <c r="D44" s="12"/>
      <c r="E44" s="12"/>
      <c r="F44" s="33">
        <v>37.132631578947368</v>
      </c>
      <c r="G44" s="33">
        <v>39.519713261648747</v>
      </c>
      <c r="H44" s="33">
        <v>22.162162162162161</v>
      </c>
      <c r="I44" s="33">
        <v>0</v>
      </c>
      <c r="J44" s="33">
        <v>46.666666666666664</v>
      </c>
      <c r="K44" s="33">
        <v>21.7</v>
      </c>
      <c r="L44" s="33">
        <v>0</v>
      </c>
      <c r="M44" s="33">
        <v>0</v>
      </c>
      <c r="N44" s="33">
        <v>31.000000000000014</v>
      </c>
      <c r="O44" s="33">
        <v>0</v>
      </c>
      <c r="P44" s="33">
        <v>21.44927536231884</v>
      </c>
      <c r="Q44" s="33">
        <v>0</v>
      </c>
      <c r="R44" s="33">
        <v>0</v>
      </c>
      <c r="S44" s="33">
        <v>0</v>
      </c>
      <c r="T44" s="33">
        <v>30.588235294117649</v>
      </c>
      <c r="U44" s="33">
        <v>0</v>
      </c>
      <c r="V44" s="33">
        <v>34.320679405520174</v>
      </c>
    </row>
    <row r="45" spans="1:22">
      <c r="A45" s="168"/>
      <c r="B45" s="12"/>
      <c r="C45" s="12" t="s">
        <v>28</v>
      </c>
      <c r="D45" s="12"/>
      <c r="E45" s="12"/>
      <c r="F45" s="33" t="s">
        <v>55</v>
      </c>
      <c r="G45" s="33" t="s">
        <v>55</v>
      </c>
      <c r="H45" s="33" t="s">
        <v>55</v>
      </c>
      <c r="I45" s="33" t="s">
        <v>55</v>
      </c>
      <c r="J45" s="33" t="s">
        <v>55</v>
      </c>
      <c r="K45" s="33" t="s">
        <v>55</v>
      </c>
      <c r="L45" s="33" t="s">
        <v>55</v>
      </c>
      <c r="M45" s="33" t="s">
        <v>55</v>
      </c>
      <c r="N45" s="33" t="s">
        <v>55</v>
      </c>
      <c r="O45" s="33" t="s">
        <v>55</v>
      </c>
      <c r="P45" s="33" t="s">
        <v>55</v>
      </c>
      <c r="Q45" s="33" t="s">
        <v>55</v>
      </c>
      <c r="R45" s="33" t="s">
        <v>55</v>
      </c>
      <c r="S45" s="33" t="s">
        <v>55</v>
      </c>
      <c r="T45" s="33" t="s">
        <v>55</v>
      </c>
      <c r="U45" s="33" t="s">
        <v>55</v>
      </c>
      <c r="V45" s="33" t="s">
        <v>55</v>
      </c>
    </row>
    <row r="46" spans="1:22">
      <c r="A46" s="168"/>
      <c r="B46" s="12"/>
      <c r="C46" s="12" t="s">
        <v>29</v>
      </c>
      <c r="D46" s="12"/>
      <c r="E46" s="12"/>
      <c r="F46" s="33">
        <v>0</v>
      </c>
      <c r="G46" s="33">
        <v>34.371673003802279</v>
      </c>
      <c r="H46" s="33">
        <v>28.570552147239265</v>
      </c>
      <c r="I46" s="33">
        <v>21.039338235294117</v>
      </c>
      <c r="J46" s="33">
        <v>28.08</v>
      </c>
      <c r="K46" s="33">
        <v>25.571428571428573</v>
      </c>
      <c r="L46" s="33">
        <v>25.125490196078431</v>
      </c>
      <c r="M46" s="33">
        <v>32</v>
      </c>
      <c r="N46" s="33">
        <v>20.117814885675408</v>
      </c>
      <c r="O46" s="33">
        <v>23.78142857142857</v>
      </c>
      <c r="P46" s="33">
        <v>22.486956521739131</v>
      </c>
      <c r="Q46" s="33">
        <v>24.850574712643677</v>
      </c>
      <c r="R46" s="33">
        <v>28.220394736842106</v>
      </c>
      <c r="S46" s="33">
        <v>22.92</v>
      </c>
      <c r="T46" s="33">
        <v>22.59375</v>
      </c>
      <c r="U46" s="33">
        <v>29.443037974683545</v>
      </c>
      <c r="V46" s="33">
        <v>27.985707458587747</v>
      </c>
    </row>
    <row r="47" spans="1:22">
      <c r="A47" s="168"/>
      <c r="B47" s="12"/>
      <c r="C47" s="12" t="s">
        <v>30</v>
      </c>
      <c r="D47" s="12"/>
      <c r="E47" s="12"/>
      <c r="F47" s="33">
        <v>29.868041237113403</v>
      </c>
      <c r="G47" s="33">
        <v>37.58009708737864</v>
      </c>
      <c r="H47" s="33">
        <v>22.898799313893655</v>
      </c>
      <c r="I47" s="33">
        <v>20.586020066889635</v>
      </c>
      <c r="J47" s="33">
        <v>25.675000000000001</v>
      </c>
      <c r="K47" s="33">
        <v>20.284153005464482</v>
      </c>
      <c r="L47" s="33">
        <v>23.038043478260871</v>
      </c>
      <c r="M47" s="33">
        <v>26.300340000000002</v>
      </c>
      <c r="N47" s="33">
        <v>24.919022901891431</v>
      </c>
      <c r="O47" s="33">
        <v>23.387935034802783</v>
      </c>
      <c r="P47" s="33">
        <v>18.371024734982331</v>
      </c>
      <c r="Q47" s="33">
        <v>18.287769784172664</v>
      </c>
      <c r="R47" s="33">
        <v>29.668724279835391</v>
      </c>
      <c r="S47" s="33">
        <v>19.047619047619047</v>
      </c>
      <c r="T47" s="33">
        <v>26.564784053156146</v>
      </c>
      <c r="U47" s="33">
        <v>24.212499999999999</v>
      </c>
      <c r="V47" s="33">
        <v>25.160057643716549</v>
      </c>
    </row>
    <row r="48" spans="1:22">
      <c r="A48" s="168"/>
      <c r="B48" s="12"/>
      <c r="C48" s="12" t="s">
        <v>31</v>
      </c>
      <c r="D48" s="12"/>
      <c r="E48" s="12"/>
      <c r="F48" s="35" t="s">
        <v>55</v>
      </c>
      <c r="G48" s="35" t="s">
        <v>55</v>
      </c>
      <c r="H48" s="35" t="s">
        <v>55</v>
      </c>
      <c r="I48" s="35" t="s">
        <v>55</v>
      </c>
      <c r="J48" s="35" t="s">
        <v>55</v>
      </c>
      <c r="K48" s="35" t="s">
        <v>55</v>
      </c>
      <c r="L48" s="35" t="s">
        <v>55</v>
      </c>
      <c r="M48" s="35" t="s">
        <v>55</v>
      </c>
      <c r="N48" s="35" t="s">
        <v>55</v>
      </c>
      <c r="O48" s="35" t="s">
        <v>55</v>
      </c>
      <c r="P48" s="35" t="s">
        <v>55</v>
      </c>
      <c r="Q48" s="35" t="s">
        <v>55</v>
      </c>
      <c r="R48" s="35" t="s">
        <v>55</v>
      </c>
      <c r="S48" s="35" t="s">
        <v>55</v>
      </c>
      <c r="T48" s="35" t="s">
        <v>55</v>
      </c>
      <c r="U48" s="35" t="s">
        <v>55</v>
      </c>
      <c r="V48" s="35" t="s">
        <v>55</v>
      </c>
    </row>
    <row r="49" spans="1:22" ht="24" customHeight="1">
      <c r="A49" s="168"/>
      <c r="B49" s="183" t="s">
        <v>129</v>
      </c>
      <c r="C49" s="183"/>
      <c r="D49" s="183"/>
      <c r="E49" s="183"/>
      <c r="F49" s="36" t="s">
        <v>55</v>
      </c>
      <c r="G49" s="36" t="s">
        <v>55</v>
      </c>
      <c r="H49" s="36" t="s">
        <v>55</v>
      </c>
      <c r="I49" s="36" t="s">
        <v>55</v>
      </c>
      <c r="J49" s="36" t="s">
        <v>55</v>
      </c>
      <c r="K49" s="36" t="s">
        <v>55</v>
      </c>
      <c r="L49" s="36" t="s">
        <v>55</v>
      </c>
      <c r="M49" s="36" t="s">
        <v>55</v>
      </c>
      <c r="N49" s="36" t="s">
        <v>55</v>
      </c>
      <c r="O49" s="36" t="s">
        <v>55</v>
      </c>
      <c r="P49" s="36" t="s">
        <v>55</v>
      </c>
      <c r="Q49" s="36" t="s">
        <v>55</v>
      </c>
      <c r="R49" s="36" t="s">
        <v>55</v>
      </c>
      <c r="S49" s="36" t="s">
        <v>55</v>
      </c>
      <c r="T49" s="36" t="s">
        <v>55</v>
      </c>
      <c r="U49" s="36" t="s">
        <v>55</v>
      </c>
      <c r="V49" s="36" t="s">
        <v>55</v>
      </c>
    </row>
    <row r="50" spans="1:22">
      <c r="A50" s="168"/>
      <c r="B50" s="12"/>
      <c r="C50" s="12" t="s">
        <v>21</v>
      </c>
      <c r="D50" s="12"/>
      <c r="E50" s="12"/>
      <c r="F50" s="33">
        <v>40.004128989361703</v>
      </c>
      <c r="G50" s="33">
        <v>27.333705512909976</v>
      </c>
      <c r="H50" s="33">
        <v>38.789731051344745</v>
      </c>
      <c r="I50" s="33">
        <v>0</v>
      </c>
      <c r="J50" s="33">
        <v>28.814569536423843</v>
      </c>
      <c r="K50" s="33">
        <v>31.560975609756099</v>
      </c>
      <c r="L50" s="33">
        <v>29.765199161425578</v>
      </c>
      <c r="M50" s="33">
        <v>29.55263157894737</v>
      </c>
      <c r="N50" s="33">
        <v>36.204523595443938</v>
      </c>
      <c r="O50" s="33">
        <v>30.690909090909091</v>
      </c>
      <c r="P50" s="33">
        <v>30.662952646239553</v>
      </c>
      <c r="Q50" s="33">
        <v>44.307017543859651</v>
      </c>
      <c r="R50" s="33">
        <v>34.533088235294116</v>
      </c>
      <c r="S50" s="33">
        <v>25.971311475409838</v>
      </c>
      <c r="T50" s="33">
        <v>27.654545454545456</v>
      </c>
      <c r="U50" s="33">
        <v>33.117647058823529</v>
      </c>
      <c r="V50" s="33">
        <v>32.773558782101503</v>
      </c>
    </row>
    <row r="51" spans="1:22">
      <c r="A51" s="168"/>
      <c r="B51" s="12"/>
      <c r="C51" s="12"/>
      <c r="D51" s="12" t="s">
        <v>23</v>
      </c>
      <c r="E51" s="12"/>
      <c r="F51" s="33">
        <v>39.664228187919463</v>
      </c>
      <c r="G51" s="33">
        <v>24.232268774703556</v>
      </c>
      <c r="H51" s="33">
        <v>38.789731051344745</v>
      </c>
      <c r="I51" s="33">
        <v>0</v>
      </c>
      <c r="J51" s="33">
        <v>28.814569536423843</v>
      </c>
      <c r="K51" s="33">
        <v>31.560975609756099</v>
      </c>
      <c r="L51" s="33">
        <v>29.765199161425578</v>
      </c>
      <c r="M51" s="33">
        <v>29.55263157894737</v>
      </c>
      <c r="N51" s="33">
        <v>36.204523595443938</v>
      </c>
      <c r="O51" s="33">
        <v>30.690909090909091</v>
      </c>
      <c r="P51" s="33">
        <v>30.662952646239553</v>
      </c>
      <c r="Q51" s="33">
        <v>44.307017543859651</v>
      </c>
      <c r="R51" s="33">
        <v>34.637554585152841</v>
      </c>
      <c r="S51" s="33">
        <v>25.971311475409838</v>
      </c>
      <c r="T51" s="33">
        <v>27.405797101449274</v>
      </c>
      <c r="U51" s="33">
        <v>33.117647058823529</v>
      </c>
      <c r="V51" s="33">
        <v>32.315973316929671</v>
      </c>
    </row>
    <row r="52" spans="1:22">
      <c r="A52" s="168"/>
      <c r="B52" s="12"/>
      <c r="C52" s="12"/>
      <c r="D52" s="12" t="s">
        <v>24</v>
      </c>
      <c r="E52" s="12"/>
      <c r="F52" s="33">
        <v>76.179285714285712</v>
      </c>
      <c r="G52" s="33">
        <v>50.686785714285712</v>
      </c>
      <c r="H52" s="33">
        <v>0</v>
      </c>
      <c r="I52" s="33">
        <v>0</v>
      </c>
      <c r="J52" s="33">
        <v>0</v>
      </c>
      <c r="K52" s="33">
        <v>0</v>
      </c>
      <c r="L52" s="33">
        <v>0</v>
      </c>
      <c r="M52" s="33">
        <v>0</v>
      </c>
      <c r="N52" s="33">
        <v>0</v>
      </c>
      <c r="O52" s="33">
        <v>0</v>
      </c>
      <c r="P52" s="33">
        <v>0</v>
      </c>
      <c r="Q52" s="33">
        <v>0</v>
      </c>
      <c r="R52" s="33">
        <v>33.97674418604651</v>
      </c>
      <c r="S52" s="33">
        <v>0</v>
      </c>
      <c r="T52" s="33">
        <v>37.666666666666664</v>
      </c>
      <c r="U52" s="33">
        <v>0</v>
      </c>
      <c r="V52" s="33">
        <v>48.501645569620251</v>
      </c>
    </row>
    <row r="53" spans="1:22">
      <c r="A53" s="168"/>
      <c r="B53" s="12"/>
      <c r="C53" s="12" t="s">
        <v>25</v>
      </c>
      <c r="D53" s="12"/>
      <c r="E53" s="12"/>
      <c r="F53" s="33">
        <v>32.58</v>
      </c>
      <c r="G53" s="33">
        <v>0</v>
      </c>
      <c r="H53" s="33">
        <v>0</v>
      </c>
      <c r="I53" s="33">
        <v>0</v>
      </c>
      <c r="J53" s="33">
        <v>0</v>
      </c>
      <c r="K53" s="33">
        <v>0</v>
      </c>
      <c r="L53" s="33">
        <v>0</v>
      </c>
      <c r="M53" s="33">
        <v>0</v>
      </c>
      <c r="N53" s="33">
        <v>0</v>
      </c>
      <c r="O53" s="33">
        <v>0</v>
      </c>
      <c r="P53" s="33">
        <v>0</v>
      </c>
      <c r="Q53" s="33">
        <v>0</v>
      </c>
      <c r="R53" s="33">
        <v>0</v>
      </c>
      <c r="S53" s="33">
        <v>0</v>
      </c>
      <c r="T53" s="33">
        <v>0</v>
      </c>
      <c r="U53" s="33">
        <v>0</v>
      </c>
      <c r="V53" s="33">
        <v>32.58</v>
      </c>
    </row>
    <row r="54" spans="1:22">
      <c r="A54" s="168"/>
      <c r="B54" s="12"/>
      <c r="C54" s="12" t="s">
        <v>26</v>
      </c>
      <c r="D54" s="12"/>
      <c r="E54" s="12"/>
      <c r="F54" s="33">
        <v>39.326353052234104</v>
      </c>
      <c r="G54" s="33">
        <v>44.513221957040578</v>
      </c>
      <c r="H54" s="33">
        <v>38.830053667262966</v>
      </c>
      <c r="I54" s="33">
        <v>25.110685483870967</v>
      </c>
      <c r="J54" s="33">
        <v>34.509554140127392</v>
      </c>
      <c r="K54" s="33">
        <v>29.649769585253456</v>
      </c>
      <c r="L54" s="33">
        <v>34.773445732349842</v>
      </c>
      <c r="M54" s="33">
        <v>29.24089068825911</v>
      </c>
      <c r="N54" s="33">
        <v>32.575037646326109</v>
      </c>
      <c r="O54" s="33">
        <v>35.01619520621896</v>
      </c>
      <c r="P54" s="33">
        <v>29.680161943319838</v>
      </c>
      <c r="Q54" s="33">
        <v>35.067357512953365</v>
      </c>
      <c r="R54" s="33">
        <v>28.640792733278282</v>
      </c>
      <c r="S54" s="33">
        <v>28.243697478991596</v>
      </c>
      <c r="T54" s="33">
        <v>32.310344827586206</v>
      </c>
      <c r="U54" s="33">
        <v>27.796033994334277</v>
      </c>
      <c r="V54" s="33">
        <v>34.452044800682138</v>
      </c>
    </row>
    <row r="55" spans="1:22">
      <c r="A55" s="168"/>
      <c r="B55" s="12"/>
      <c r="C55" s="12" t="s">
        <v>27</v>
      </c>
      <c r="D55" s="12"/>
      <c r="E55" s="12"/>
      <c r="F55" s="33">
        <v>37.132631578947368</v>
      </c>
      <c r="G55" s="33">
        <v>39.593525179856115</v>
      </c>
      <c r="H55" s="33">
        <v>22.323529411764707</v>
      </c>
      <c r="I55" s="33">
        <v>0</v>
      </c>
      <c r="J55" s="33">
        <v>46.666666666666664</v>
      </c>
      <c r="K55" s="33">
        <v>21.7</v>
      </c>
      <c r="L55" s="33">
        <v>0</v>
      </c>
      <c r="M55" s="33">
        <v>0</v>
      </c>
      <c r="N55" s="33">
        <v>31.000000000000014</v>
      </c>
      <c r="O55" s="33">
        <v>0</v>
      </c>
      <c r="P55" s="33">
        <v>35.529411764705884</v>
      </c>
      <c r="Q55" s="33">
        <v>0</v>
      </c>
      <c r="R55" s="33">
        <v>0</v>
      </c>
      <c r="S55" s="33">
        <v>0</v>
      </c>
      <c r="T55" s="33">
        <v>30.588235294117649</v>
      </c>
      <c r="U55" s="33">
        <v>0</v>
      </c>
      <c r="V55" s="33">
        <v>36.604259259259258</v>
      </c>
    </row>
    <row r="56" spans="1:22">
      <c r="A56" s="168"/>
      <c r="B56" s="12"/>
      <c r="C56" s="12" t="s">
        <v>28</v>
      </c>
      <c r="D56" s="12"/>
      <c r="E56" s="12"/>
      <c r="F56" s="33" t="s">
        <v>55</v>
      </c>
      <c r="G56" s="33" t="s">
        <v>55</v>
      </c>
      <c r="H56" s="33" t="s">
        <v>55</v>
      </c>
      <c r="I56" s="33" t="s">
        <v>55</v>
      </c>
      <c r="J56" s="33" t="s">
        <v>55</v>
      </c>
      <c r="K56" s="33" t="s">
        <v>55</v>
      </c>
      <c r="L56" s="33" t="s">
        <v>55</v>
      </c>
      <c r="M56" s="33" t="s">
        <v>55</v>
      </c>
      <c r="N56" s="33" t="s">
        <v>55</v>
      </c>
      <c r="O56" s="33" t="s">
        <v>55</v>
      </c>
      <c r="P56" s="33" t="s">
        <v>55</v>
      </c>
      <c r="Q56" s="33" t="s">
        <v>55</v>
      </c>
      <c r="R56" s="33" t="s">
        <v>55</v>
      </c>
      <c r="S56" s="33" t="s">
        <v>55</v>
      </c>
      <c r="T56" s="33" t="s">
        <v>55</v>
      </c>
      <c r="U56" s="33" t="s">
        <v>55</v>
      </c>
      <c r="V56" s="33" t="s">
        <v>55</v>
      </c>
    </row>
    <row r="57" spans="1:22">
      <c r="A57" s="168"/>
      <c r="B57" s="12"/>
      <c r="C57" s="12" t="s">
        <v>29</v>
      </c>
      <c r="D57" s="12"/>
      <c r="E57" s="12"/>
      <c r="F57" s="33">
        <v>0</v>
      </c>
      <c r="G57" s="33">
        <v>36.783539325842696</v>
      </c>
      <c r="H57" s="33">
        <v>28.566037735849058</v>
      </c>
      <c r="I57" s="33">
        <v>21.039338235294117</v>
      </c>
      <c r="J57" s="33">
        <v>30.2</v>
      </c>
      <c r="K57" s="33">
        <v>25.571428571428573</v>
      </c>
      <c r="L57" s="33">
        <v>25.145669291338582</v>
      </c>
      <c r="M57" s="33">
        <v>32</v>
      </c>
      <c r="N57" s="33">
        <v>28.026932724148523</v>
      </c>
      <c r="O57" s="33">
        <v>21.6056338028169</v>
      </c>
      <c r="P57" s="33">
        <v>22.486956521739131</v>
      </c>
      <c r="Q57" s="33">
        <v>24.872093023255815</v>
      </c>
      <c r="R57" s="33">
        <v>28.220394736842106</v>
      </c>
      <c r="S57" s="33">
        <v>22.92</v>
      </c>
      <c r="T57" s="33">
        <v>24.607142857142858</v>
      </c>
      <c r="U57" s="33">
        <v>29.443037974683545</v>
      </c>
      <c r="V57" s="33">
        <v>29.020641060656796</v>
      </c>
    </row>
    <row r="58" spans="1:22">
      <c r="A58" s="168"/>
      <c r="B58" s="12"/>
      <c r="C58" s="12" t="s">
        <v>30</v>
      </c>
      <c r="D58" s="12"/>
      <c r="E58" s="12"/>
      <c r="F58" s="33">
        <v>39.89458239277652</v>
      </c>
      <c r="G58" s="33">
        <v>40.057748031496061</v>
      </c>
      <c r="H58" s="33">
        <v>30.741935483870968</v>
      </c>
      <c r="I58" s="33">
        <v>23.070864242204934</v>
      </c>
      <c r="J58" s="33">
        <v>25.734375</v>
      </c>
      <c r="K58" s="33">
        <v>22.474576271186439</v>
      </c>
      <c r="L58" s="33">
        <v>26.109259259259261</v>
      </c>
      <c r="M58" s="33">
        <v>28.876962962962963</v>
      </c>
      <c r="N58" s="33">
        <v>28.416891951118668</v>
      </c>
      <c r="O58" s="33">
        <v>24.928899082568808</v>
      </c>
      <c r="P58" s="33">
        <v>22.939655172413794</v>
      </c>
      <c r="Q58" s="33">
        <v>18.801980198019802</v>
      </c>
      <c r="R58" s="33">
        <v>31.867374005305038</v>
      </c>
      <c r="S58" s="33">
        <v>22.458563535911601</v>
      </c>
      <c r="T58" s="33">
        <v>28.282157676348547</v>
      </c>
      <c r="U58" s="33">
        <v>27.856382978723403</v>
      </c>
      <c r="V58" s="33">
        <v>29.014884350160564</v>
      </c>
    </row>
    <row r="59" spans="1:22">
      <c r="A59" s="168"/>
      <c r="B59" s="13"/>
      <c r="C59" s="13" t="s">
        <v>31</v>
      </c>
      <c r="D59" s="13"/>
      <c r="E59" s="13"/>
      <c r="F59" s="35" t="s">
        <v>55</v>
      </c>
      <c r="G59" s="35" t="s">
        <v>55</v>
      </c>
      <c r="H59" s="35" t="s">
        <v>55</v>
      </c>
      <c r="I59" s="35" t="s">
        <v>55</v>
      </c>
      <c r="J59" s="35" t="s">
        <v>55</v>
      </c>
      <c r="K59" s="35" t="s">
        <v>55</v>
      </c>
      <c r="L59" s="35" t="s">
        <v>55</v>
      </c>
      <c r="M59" s="35" t="s">
        <v>55</v>
      </c>
      <c r="N59" s="35" t="s">
        <v>55</v>
      </c>
      <c r="O59" s="35" t="s">
        <v>55</v>
      </c>
      <c r="P59" s="35" t="s">
        <v>55</v>
      </c>
      <c r="Q59" s="35" t="s">
        <v>55</v>
      </c>
      <c r="R59" s="35" t="s">
        <v>55</v>
      </c>
      <c r="S59" s="35" t="s">
        <v>55</v>
      </c>
      <c r="T59" s="35" t="s">
        <v>55</v>
      </c>
      <c r="U59" s="35" t="s">
        <v>55</v>
      </c>
      <c r="V59" s="35" t="s">
        <v>55</v>
      </c>
    </row>
    <row r="60" spans="1:22" ht="27" customHeight="1">
      <c r="A60" s="168"/>
      <c r="B60" s="183" t="s">
        <v>130</v>
      </c>
      <c r="C60" s="183"/>
      <c r="D60" s="183"/>
      <c r="E60" s="183"/>
      <c r="F60" s="36" t="s">
        <v>55</v>
      </c>
      <c r="G60" s="36" t="s">
        <v>55</v>
      </c>
      <c r="H60" s="36" t="s">
        <v>55</v>
      </c>
      <c r="I60" s="36" t="s">
        <v>55</v>
      </c>
      <c r="J60" s="36" t="s">
        <v>55</v>
      </c>
      <c r="K60" s="36" t="s">
        <v>55</v>
      </c>
      <c r="L60" s="36" t="s">
        <v>55</v>
      </c>
      <c r="M60" s="36" t="s">
        <v>55</v>
      </c>
      <c r="N60" s="36" t="s">
        <v>55</v>
      </c>
      <c r="O60" s="36" t="s">
        <v>55</v>
      </c>
      <c r="P60" s="36" t="s">
        <v>55</v>
      </c>
      <c r="Q60" s="36" t="s">
        <v>55</v>
      </c>
      <c r="R60" s="36" t="s">
        <v>55</v>
      </c>
      <c r="S60" s="36" t="s">
        <v>55</v>
      </c>
      <c r="T60" s="36" t="s">
        <v>55</v>
      </c>
      <c r="U60" s="36" t="s">
        <v>55</v>
      </c>
      <c r="V60" s="36" t="s">
        <v>55</v>
      </c>
    </row>
    <row r="61" spans="1:22">
      <c r="A61" s="168"/>
      <c r="B61" s="12"/>
      <c r="C61" s="12" t="s">
        <v>21</v>
      </c>
      <c r="D61" s="12"/>
      <c r="E61" s="12"/>
      <c r="F61" s="33">
        <v>13.505392718113121</v>
      </c>
      <c r="G61" s="33">
        <v>12.782906866464341</v>
      </c>
      <c r="H61" s="33">
        <v>14.292863762743281</v>
      </c>
      <c r="I61" s="33">
        <v>12.225808684707363</v>
      </c>
      <c r="J61" s="33">
        <v>12.970319634703197</v>
      </c>
      <c r="K61" s="33">
        <v>11.385189794648413</v>
      </c>
      <c r="L61" s="33">
        <v>11.638839125761375</v>
      </c>
      <c r="M61" s="33">
        <v>11.736331569664904</v>
      </c>
      <c r="N61" s="33">
        <v>10.365212560947313</v>
      </c>
      <c r="O61" s="33">
        <v>11.235345527186466</v>
      </c>
      <c r="P61" s="33">
        <v>10.608264930653835</v>
      </c>
      <c r="Q61" s="33">
        <v>12.269024651661308</v>
      </c>
      <c r="R61" s="33">
        <v>14.24868073878628</v>
      </c>
      <c r="S61" s="33">
        <v>10.616240995415849</v>
      </c>
      <c r="T61" s="33">
        <v>11.281413612565444</v>
      </c>
      <c r="U61" s="33">
        <v>11.731615336266499</v>
      </c>
      <c r="V61" s="33">
        <v>11.950222334984961</v>
      </c>
    </row>
    <row r="62" spans="1:22">
      <c r="A62" s="168"/>
      <c r="B62" s="12"/>
      <c r="C62" s="12"/>
      <c r="D62" s="12" t="s">
        <v>22</v>
      </c>
      <c r="E62" s="12"/>
      <c r="F62" s="33">
        <v>13.505392718113121</v>
      </c>
      <c r="G62" s="33">
        <v>12.782906866464341</v>
      </c>
      <c r="H62" s="33">
        <v>14.353481624758221</v>
      </c>
      <c r="I62" s="33">
        <v>12.225808684707363</v>
      </c>
      <c r="J62" s="33">
        <v>12.908543922984355</v>
      </c>
      <c r="K62" s="33">
        <v>11.43966623876765</v>
      </c>
      <c r="L62" s="33">
        <v>11.638839125761375</v>
      </c>
      <c r="M62" s="33">
        <v>11.734032411820781</v>
      </c>
      <c r="N62" s="33">
        <v>10.358446576813794</v>
      </c>
      <c r="O62" s="33">
        <v>11.235345527186466</v>
      </c>
      <c r="P62" s="33">
        <v>10.608264930653835</v>
      </c>
      <c r="Q62" s="33">
        <v>12.269024651661308</v>
      </c>
      <c r="R62" s="33">
        <v>14.44750254841998</v>
      </c>
      <c r="S62" s="33">
        <v>10.616240995415849</v>
      </c>
      <c r="T62" s="33">
        <v>11.285423728813559</v>
      </c>
      <c r="U62" s="33">
        <v>11.731615336266499</v>
      </c>
      <c r="V62" s="33">
        <v>11.955925388604886</v>
      </c>
    </row>
    <row r="63" spans="1:22">
      <c r="A63" s="168"/>
      <c r="B63" s="12"/>
      <c r="C63" s="12"/>
      <c r="D63" s="12" t="s">
        <v>23</v>
      </c>
      <c r="E63" s="12"/>
      <c r="F63" s="33">
        <v>0</v>
      </c>
      <c r="G63" s="33">
        <v>0</v>
      </c>
      <c r="H63" s="33">
        <v>12.9</v>
      </c>
      <c r="I63" s="33">
        <v>0</v>
      </c>
      <c r="J63" s="33">
        <v>14.111111111111111</v>
      </c>
      <c r="K63" s="33">
        <v>9.6530612244897966</v>
      </c>
      <c r="L63" s="33">
        <v>0</v>
      </c>
      <c r="M63" s="33">
        <v>11.764705882352942</v>
      </c>
      <c r="N63" s="33">
        <v>12.49381456410252</v>
      </c>
      <c r="O63" s="33">
        <v>0</v>
      </c>
      <c r="P63" s="33">
        <v>0</v>
      </c>
      <c r="Q63" s="33">
        <v>0</v>
      </c>
      <c r="R63" s="33">
        <v>7.6741573033707864</v>
      </c>
      <c r="S63" s="33">
        <v>0</v>
      </c>
      <c r="T63" s="33">
        <v>11.169811320754716</v>
      </c>
      <c r="U63" s="33">
        <v>0</v>
      </c>
      <c r="V63" s="33">
        <v>11.141810560536939</v>
      </c>
    </row>
    <row r="64" spans="1:22">
      <c r="A64" s="168"/>
      <c r="B64" s="12"/>
      <c r="C64" s="12" t="s">
        <v>25</v>
      </c>
      <c r="D64" s="12"/>
      <c r="E64" s="12"/>
      <c r="F64" s="33">
        <v>0</v>
      </c>
      <c r="G64" s="33">
        <v>0</v>
      </c>
      <c r="H64" s="33">
        <v>0</v>
      </c>
      <c r="I64" s="33">
        <v>0</v>
      </c>
      <c r="J64" s="33">
        <v>0</v>
      </c>
      <c r="K64" s="33">
        <v>0</v>
      </c>
      <c r="L64" s="33">
        <v>0</v>
      </c>
      <c r="M64" s="33">
        <v>0</v>
      </c>
      <c r="N64" s="33">
        <v>0</v>
      </c>
      <c r="O64" s="33">
        <v>0</v>
      </c>
      <c r="P64" s="33">
        <v>0</v>
      </c>
      <c r="Q64" s="33">
        <v>0</v>
      </c>
      <c r="R64" s="33">
        <v>0</v>
      </c>
      <c r="S64" s="33">
        <v>0</v>
      </c>
      <c r="T64" s="33">
        <v>0</v>
      </c>
      <c r="U64" s="33">
        <v>0</v>
      </c>
      <c r="V64" s="33">
        <v>0</v>
      </c>
    </row>
    <row r="65" spans="1:28">
      <c r="A65" s="168"/>
      <c r="B65" s="12"/>
      <c r="C65" s="12" t="s">
        <v>26</v>
      </c>
      <c r="D65" s="12"/>
      <c r="E65" s="12"/>
      <c r="F65" s="33">
        <v>25.053545394300862</v>
      </c>
      <c r="G65" s="33">
        <v>26.622727272727271</v>
      </c>
      <c r="H65" s="33">
        <v>0</v>
      </c>
      <c r="I65" s="33">
        <v>0</v>
      </c>
      <c r="J65" s="33">
        <v>15</v>
      </c>
      <c r="K65" s="33">
        <v>41</v>
      </c>
      <c r="L65" s="33">
        <v>0</v>
      </c>
      <c r="M65" s="33">
        <v>12.6</v>
      </c>
      <c r="N65" s="33">
        <v>14.823232805242119</v>
      </c>
      <c r="O65" s="33">
        <v>0</v>
      </c>
      <c r="P65" s="33">
        <v>0</v>
      </c>
      <c r="Q65" s="33">
        <v>0</v>
      </c>
      <c r="R65" s="33">
        <v>18.966666666666665</v>
      </c>
      <c r="S65" s="33">
        <v>5.6</v>
      </c>
      <c r="T65" s="33">
        <v>0</v>
      </c>
      <c r="U65" s="33">
        <v>6.90625</v>
      </c>
      <c r="V65" s="33">
        <v>23.961210335083688</v>
      </c>
    </row>
    <row r="66" spans="1:28">
      <c r="A66" s="168"/>
      <c r="B66" s="12"/>
      <c r="C66" s="12" t="s">
        <v>27</v>
      </c>
      <c r="D66" s="12"/>
      <c r="E66" s="12"/>
      <c r="F66" s="33">
        <v>0</v>
      </c>
      <c r="G66" s="33">
        <v>19</v>
      </c>
      <c r="H66" s="33">
        <v>20.333333333333332</v>
      </c>
      <c r="I66" s="33">
        <v>0</v>
      </c>
      <c r="J66" s="33">
        <v>0</v>
      </c>
      <c r="K66" s="33">
        <v>0</v>
      </c>
      <c r="L66" s="33">
        <v>0</v>
      </c>
      <c r="M66" s="33">
        <v>0</v>
      </c>
      <c r="N66" s="33">
        <v>0</v>
      </c>
      <c r="O66" s="33">
        <v>0</v>
      </c>
      <c r="P66" s="33">
        <v>7.7714285714285714</v>
      </c>
      <c r="Q66" s="33">
        <v>0</v>
      </c>
      <c r="R66" s="33">
        <v>0</v>
      </c>
      <c r="S66" s="33">
        <v>0</v>
      </c>
      <c r="T66" s="33">
        <v>0</v>
      </c>
      <c r="U66" s="33">
        <v>0</v>
      </c>
      <c r="V66" s="33">
        <v>9.0256410256410255</v>
      </c>
    </row>
    <row r="67" spans="1:28">
      <c r="A67" s="168"/>
      <c r="B67" s="12"/>
      <c r="C67" s="12" t="s">
        <v>29</v>
      </c>
      <c r="D67" s="12"/>
      <c r="E67" s="12"/>
      <c r="F67" s="33">
        <v>0</v>
      </c>
      <c r="G67" s="33">
        <v>30.869125874125874</v>
      </c>
      <c r="H67" s="33">
        <v>28.75</v>
      </c>
      <c r="I67" s="33">
        <v>0</v>
      </c>
      <c r="J67" s="33">
        <v>19.600000000000001</v>
      </c>
      <c r="K67" s="33">
        <v>0</v>
      </c>
      <c r="L67" s="33">
        <v>20</v>
      </c>
      <c r="M67" s="33">
        <v>0</v>
      </c>
      <c r="N67" s="33">
        <v>11.516937469493346</v>
      </c>
      <c r="O67" s="33">
        <v>26.020289855072463</v>
      </c>
      <c r="P67" s="33">
        <v>0</v>
      </c>
      <c r="Q67" s="33">
        <v>23</v>
      </c>
      <c r="R67" s="33">
        <v>0</v>
      </c>
      <c r="S67" s="33">
        <v>0</v>
      </c>
      <c r="T67" s="33">
        <v>8.5</v>
      </c>
      <c r="U67" s="33">
        <v>0</v>
      </c>
      <c r="V67" s="33">
        <v>25.407278235842107</v>
      </c>
    </row>
    <row r="68" spans="1:28">
      <c r="A68" s="168"/>
      <c r="B68" s="12"/>
      <c r="C68" s="12" t="s">
        <v>30</v>
      </c>
      <c r="D68" s="12"/>
      <c r="E68" s="12"/>
      <c r="F68" s="33">
        <v>19.538372093023256</v>
      </c>
      <c r="G68" s="33">
        <v>19.285813953488372</v>
      </c>
      <c r="H68" s="33">
        <v>19.224181360201513</v>
      </c>
      <c r="I68" s="33">
        <v>17.492604549891134</v>
      </c>
      <c r="J68" s="33">
        <v>25.4375</v>
      </c>
      <c r="K68" s="33">
        <v>16.307692307692307</v>
      </c>
      <c r="L68" s="33">
        <v>14.576530612244898</v>
      </c>
      <c r="M68" s="33">
        <v>15.315789473684211</v>
      </c>
      <c r="N68" s="33">
        <v>16.777964849265135</v>
      </c>
      <c r="O68" s="33">
        <v>21.008264462809919</v>
      </c>
      <c r="P68" s="33">
        <v>15.197604790419161</v>
      </c>
      <c r="Q68" s="33">
        <v>16.921052631578949</v>
      </c>
      <c r="R68" s="33">
        <v>22.064220183486238</v>
      </c>
      <c r="S68" s="33">
        <v>12.336956521739131</v>
      </c>
      <c r="T68" s="33">
        <v>19.666666666666668</v>
      </c>
      <c r="U68" s="33">
        <v>11.038461538461538</v>
      </c>
      <c r="V68" s="33">
        <v>18.4620104109535</v>
      </c>
    </row>
    <row r="69" spans="1:28">
      <c r="A69" s="168"/>
      <c r="B69" s="13"/>
      <c r="C69" s="13" t="s">
        <v>31</v>
      </c>
      <c r="D69" s="13"/>
      <c r="E69" s="13"/>
      <c r="F69" s="35" t="s">
        <v>55</v>
      </c>
      <c r="G69" s="35" t="s">
        <v>55</v>
      </c>
      <c r="H69" s="35" t="s">
        <v>55</v>
      </c>
      <c r="I69" s="35" t="s">
        <v>55</v>
      </c>
      <c r="J69" s="35" t="s">
        <v>55</v>
      </c>
      <c r="K69" s="35" t="s">
        <v>55</v>
      </c>
      <c r="L69" s="35" t="s">
        <v>55</v>
      </c>
      <c r="M69" s="35" t="s">
        <v>55</v>
      </c>
      <c r="N69" s="35" t="s">
        <v>55</v>
      </c>
      <c r="O69" s="35" t="s">
        <v>55</v>
      </c>
      <c r="P69" s="35" t="s">
        <v>55</v>
      </c>
      <c r="Q69" s="35" t="s">
        <v>55</v>
      </c>
      <c r="R69" s="35" t="s">
        <v>55</v>
      </c>
      <c r="S69" s="35" t="s">
        <v>55</v>
      </c>
      <c r="T69" s="35" t="s">
        <v>55</v>
      </c>
      <c r="U69" s="35" t="s">
        <v>55</v>
      </c>
      <c r="V69" s="35" t="s">
        <v>55</v>
      </c>
    </row>
    <row r="70" spans="1:28">
      <c r="A70" s="168"/>
      <c r="B70" s="171" t="s">
        <v>33</v>
      </c>
      <c r="C70" s="171"/>
      <c r="D70" s="171"/>
      <c r="E70" s="17" t="s">
        <v>182</v>
      </c>
      <c r="F70" s="17"/>
      <c r="G70" s="17"/>
      <c r="H70" s="17"/>
      <c r="I70" s="17"/>
      <c r="J70" s="17"/>
      <c r="K70" s="17"/>
      <c r="L70" s="17"/>
      <c r="M70" s="17"/>
      <c r="N70" s="17"/>
      <c r="O70" s="17"/>
      <c r="P70" s="17"/>
      <c r="Q70" s="17"/>
      <c r="R70" s="17"/>
      <c r="S70" s="17"/>
      <c r="T70" s="17"/>
      <c r="U70" s="17"/>
      <c r="V70" s="25"/>
    </row>
    <row r="71" spans="1:28">
      <c r="A71" s="168"/>
      <c r="B71" s="140"/>
      <c r="C71" s="140"/>
      <c r="D71" s="140"/>
      <c r="E71" s="167" t="s">
        <v>200</v>
      </c>
      <c r="F71" s="167"/>
      <c r="G71" s="167"/>
      <c r="H71" s="167"/>
      <c r="I71" s="167"/>
      <c r="J71" s="167"/>
      <c r="K71" s="167"/>
      <c r="L71" s="167"/>
      <c r="M71" s="167"/>
      <c r="N71" s="167"/>
      <c r="O71" s="167"/>
      <c r="P71" s="167"/>
      <c r="Q71" s="167"/>
      <c r="R71" s="167"/>
      <c r="S71" s="167"/>
      <c r="T71" s="167"/>
      <c r="U71" s="167"/>
      <c r="V71" s="167"/>
      <c r="W71" s="157"/>
      <c r="X71" s="157"/>
      <c r="Y71" s="157"/>
      <c r="Z71" s="157"/>
      <c r="AA71" s="157"/>
      <c r="AB71" s="157"/>
    </row>
    <row r="72" spans="1:28">
      <c r="A72" s="168"/>
      <c r="E72" s="180" t="s">
        <v>32</v>
      </c>
      <c r="F72" s="180"/>
      <c r="G72" s="180"/>
      <c r="H72" s="180"/>
      <c r="I72" s="180"/>
      <c r="J72" s="180"/>
      <c r="K72" s="180"/>
      <c r="L72" s="180"/>
      <c r="M72" s="180"/>
      <c r="N72" s="180"/>
      <c r="O72" s="180"/>
      <c r="P72" s="180"/>
    </row>
  </sheetData>
  <mergeCells count="10">
    <mergeCell ref="A1:A36"/>
    <mergeCell ref="A37:A72"/>
    <mergeCell ref="E72:P72"/>
    <mergeCell ref="B1:E1"/>
    <mergeCell ref="B5:E5"/>
    <mergeCell ref="B30:E30"/>
    <mergeCell ref="B49:E49"/>
    <mergeCell ref="B60:E60"/>
    <mergeCell ref="B70:D70"/>
    <mergeCell ref="E71:V71"/>
  </mergeCells>
  <hyperlinks>
    <hyperlink ref="E71:V71" location="Leer!Druckbereich" display="Ab 2024 gelten für die Schularten des Sek-I-Bereichs neue Bezeichnungen bzw. Zusätze. Zudem kommt es bei den Hauptschulen, Schularten mit zwei Bildungsgängen und Schularten mit drei Bildungsgängen zu Neuzuordnungen." xr:uid="{7A26685D-18D1-4F40-8F5E-47E601A72B8C}"/>
  </hyperlinks>
  <printOptions verticalCentered="1"/>
  <pageMargins left="0.23622047244094491" right="0.23622047244094491" top="0.74803149606299213" bottom="0.74803149606299213" header="0.31496062992125984" footer="0.31496062992125984"/>
  <pageSetup paperSize="9" scale="99" orientation="landscape" r:id="rId1"/>
  <rowBreaks count="1" manualBreakCount="1">
    <brk id="36" max="16383"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23"/>
  <dimension ref="A1:AC68"/>
  <sheetViews>
    <sheetView view="pageBreakPreview" topLeftCell="A8" zoomScale="140" zoomScaleNormal="100" zoomScaleSheetLayoutView="140" workbookViewId="0">
      <selection activeCell="J27" sqref="J27"/>
    </sheetView>
  </sheetViews>
  <sheetFormatPr baseColWidth="10" defaultRowHeight="12.75"/>
  <cols>
    <col min="1" max="1" width="2.7109375" customWidth="1"/>
    <col min="2" max="2" width="3.7109375" customWidth="1"/>
    <col min="3" max="4" width="2.7109375" customWidth="1"/>
    <col min="5" max="5" width="27.28515625" customWidth="1"/>
    <col min="6" max="18" width="9.7109375" hidden="1" customWidth="1"/>
    <col min="19" max="28" width="9.7109375" customWidth="1"/>
  </cols>
  <sheetData>
    <row r="1" spans="1:28" ht="13.5">
      <c r="A1" s="168">
        <v>85</v>
      </c>
      <c r="B1" s="169" t="s">
        <v>0</v>
      </c>
      <c r="C1" s="169"/>
      <c r="D1" s="169"/>
      <c r="E1" s="169"/>
    </row>
    <row r="2" spans="1:28" ht="13.5">
      <c r="A2" s="168"/>
      <c r="B2" s="4" t="s">
        <v>76</v>
      </c>
      <c r="C2" s="4"/>
      <c r="D2" s="4" t="s">
        <v>173</v>
      </c>
      <c r="E2" s="4"/>
    </row>
    <row r="3" spans="1:28" ht="13.5">
      <c r="A3" s="168"/>
      <c r="B3" s="5" t="s">
        <v>78</v>
      </c>
      <c r="C3" s="4"/>
      <c r="D3" s="4" t="s">
        <v>185</v>
      </c>
      <c r="E3" s="4"/>
    </row>
    <row r="4" spans="1:28" ht="10.5" customHeight="1">
      <c r="A4" s="168"/>
    </row>
    <row r="5" spans="1:28" s="6" customFormat="1" ht="18.75" customHeight="1">
      <c r="A5" s="168"/>
      <c r="B5" s="170" t="s">
        <v>133</v>
      </c>
      <c r="C5" s="170"/>
      <c r="D5" s="170"/>
      <c r="E5" s="170"/>
      <c r="F5" s="8">
        <v>2002</v>
      </c>
      <c r="G5" s="8">
        <v>2003</v>
      </c>
      <c r="H5" s="8">
        <v>2004</v>
      </c>
      <c r="I5" s="8">
        <v>2005</v>
      </c>
      <c r="J5" s="8">
        <v>2006</v>
      </c>
      <c r="K5" s="8">
        <v>2007</v>
      </c>
      <c r="L5" s="8">
        <v>2008</v>
      </c>
      <c r="M5" s="8">
        <v>2009</v>
      </c>
      <c r="N5" s="8">
        <v>2010</v>
      </c>
      <c r="O5" s="8">
        <v>2011</v>
      </c>
      <c r="P5" s="8">
        <v>2012</v>
      </c>
      <c r="Q5" s="8">
        <v>2013</v>
      </c>
      <c r="R5" s="8">
        <v>2014</v>
      </c>
      <c r="S5" s="8">
        <v>2015</v>
      </c>
      <c r="T5" s="8">
        <v>2016</v>
      </c>
      <c r="U5" s="8">
        <v>2017</v>
      </c>
      <c r="V5" s="8">
        <v>2018</v>
      </c>
      <c r="W5" s="8">
        <v>2019</v>
      </c>
      <c r="X5" s="8">
        <v>2020</v>
      </c>
      <c r="Y5" s="8">
        <v>2021</v>
      </c>
      <c r="Z5" s="8">
        <v>2022</v>
      </c>
      <c r="AA5" s="8">
        <v>2023</v>
      </c>
      <c r="AB5" s="8">
        <v>2024</v>
      </c>
    </row>
    <row r="6" spans="1:28" s="6" customFormat="1" ht="18.75" customHeight="1">
      <c r="A6" s="168"/>
      <c r="B6" s="192" t="s">
        <v>81</v>
      </c>
      <c r="C6" s="192"/>
      <c r="D6" s="192"/>
      <c r="E6" s="192"/>
      <c r="F6" s="192"/>
      <c r="G6" s="192"/>
      <c r="H6" s="192"/>
      <c r="I6" s="192"/>
      <c r="J6" s="192"/>
      <c r="K6" s="192"/>
      <c r="L6" s="192"/>
      <c r="M6" s="192"/>
      <c r="N6" s="192"/>
      <c r="O6" s="192"/>
      <c r="P6" s="192"/>
      <c r="Q6" s="192"/>
      <c r="R6" s="192"/>
      <c r="S6" s="192"/>
      <c r="T6" s="192"/>
      <c r="U6" s="192"/>
      <c r="V6" s="192"/>
      <c r="W6" s="192"/>
      <c r="X6" s="192"/>
      <c r="Y6" s="192"/>
      <c r="Z6" s="192"/>
      <c r="AA6" s="192"/>
      <c r="AB6" s="192"/>
    </row>
    <row r="7" spans="1:28" ht="21" customHeight="1">
      <c r="A7" s="168"/>
      <c r="B7" s="10" t="s">
        <v>119</v>
      </c>
      <c r="C7" s="10"/>
      <c r="D7" s="10"/>
      <c r="E7" s="9"/>
      <c r="F7" s="49">
        <v>1006355</v>
      </c>
      <c r="G7" s="49">
        <v>1004792</v>
      </c>
      <c r="H7" s="49">
        <v>984038</v>
      </c>
      <c r="I7" s="49">
        <v>923384</v>
      </c>
      <c r="J7" s="49">
        <v>876762.66666666663</v>
      </c>
      <c r="K7" s="49">
        <v>846745</v>
      </c>
      <c r="L7" s="49">
        <v>817334</v>
      </c>
      <c r="M7" s="49">
        <v>825838</v>
      </c>
      <c r="N7" s="49">
        <v>858114</v>
      </c>
      <c r="O7" s="49">
        <v>843116.16666666663</v>
      </c>
      <c r="P7" s="49">
        <v>838094</v>
      </c>
      <c r="Q7" s="49">
        <v>822693</v>
      </c>
      <c r="R7" s="49">
        <v>791461</v>
      </c>
      <c r="S7" s="49">
        <v>782419</v>
      </c>
      <c r="T7" s="49">
        <v>784905.43</v>
      </c>
      <c r="U7" s="49">
        <v>768139</v>
      </c>
      <c r="V7" s="49">
        <v>775109</v>
      </c>
      <c r="W7" s="49">
        <v>758762</v>
      </c>
      <c r="X7" s="49">
        <v>755804</v>
      </c>
      <c r="Y7" s="49">
        <v>771788</v>
      </c>
      <c r="Z7" s="49">
        <v>781825</v>
      </c>
      <c r="AA7" s="49">
        <v>798751</v>
      </c>
      <c r="AB7" s="49">
        <v>807488.75</v>
      </c>
    </row>
    <row r="8" spans="1:28" ht="18" customHeight="1">
      <c r="A8" s="168"/>
      <c r="B8" s="11" t="s">
        <v>13</v>
      </c>
      <c r="C8" s="12"/>
      <c r="D8" s="12"/>
      <c r="E8" s="12"/>
      <c r="F8" s="45">
        <v>229582</v>
      </c>
      <c r="G8" s="45">
        <v>224818</v>
      </c>
      <c r="H8" s="45">
        <v>220927</v>
      </c>
      <c r="I8" s="56">
        <v>205853</v>
      </c>
      <c r="J8" s="56">
        <v>190806</v>
      </c>
      <c r="K8" s="56">
        <v>172443</v>
      </c>
      <c r="L8" s="56">
        <v>157838</v>
      </c>
      <c r="M8" s="56">
        <v>145413</v>
      </c>
      <c r="N8" s="56">
        <v>142744</v>
      </c>
      <c r="O8" s="56">
        <v>129045</v>
      </c>
      <c r="P8" s="56">
        <v>120281</v>
      </c>
      <c r="Q8" s="56">
        <v>114018</v>
      </c>
      <c r="R8" s="56">
        <v>105415</v>
      </c>
      <c r="S8" s="56">
        <v>93510</v>
      </c>
      <c r="T8" s="56">
        <v>84721</v>
      </c>
      <c r="U8" s="56">
        <v>74945</v>
      </c>
      <c r="V8" s="56">
        <v>69649</v>
      </c>
      <c r="W8" s="56">
        <v>66546</v>
      </c>
      <c r="X8" s="56">
        <v>63507</v>
      </c>
      <c r="Y8" s="56">
        <v>62717</v>
      </c>
      <c r="Z8" s="56">
        <v>65711</v>
      </c>
      <c r="AA8" s="56">
        <v>67021</v>
      </c>
      <c r="AB8" s="56">
        <v>28421</v>
      </c>
    </row>
    <row r="9" spans="1:28" ht="18" customHeight="1">
      <c r="A9" s="168"/>
      <c r="B9" s="11" t="s">
        <v>188</v>
      </c>
      <c r="C9" s="12"/>
      <c r="D9" s="12"/>
      <c r="E9" s="12"/>
      <c r="F9" s="46">
        <v>87302</v>
      </c>
      <c r="G9" s="46">
        <v>84932</v>
      </c>
      <c r="H9" s="46">
        <v>76074</v>
      </c>
      <c r="I9" s="56">
        <v>61259</v>
      </c>
      <c r="J9" s="56">
        <v>57959</v>
      </c>
      <c r="K9" s="56">
        <v>53360</v>
      </c>
      <c r="L9" s="56">
        <v>49653</v>
      </c>
      <c r="M9" s="56">
        <v>58299</v>
      </c>
      <c r="N9" s="56">
        <v>67261</v>
      </c>
      <c r="O9" s="56">
        <v>69852</v>
      </c>
      <c r="P9" s="56">
        <v>72927</v>
      </c>
      <c r="Q9" s="56">
        <v>73862</v>
      </c>
      <c r="R9" s="56">
        <v>80017</v>
      </c>
      <c r="S9" s="56">
        <v>92033</v>
      </c>
      <c r="T9" s="56">
        <v>95497</v>
      </c>
      <c r="U9" s="56">
        <v>94707</v>
      </c>
      <c r="V9" s="56">
        <v>95744</v>
      </c>
      <c r="W9" s="56">
        <v>95003</v>
      </c>
      <c r="X9" s="56">
        <v>93449</v>
      </c>
      <c r="Y9" s="56">
        <v>95120</v>
      </c>
      <c r="Z9" s="56">
        <v>97746</v>
      </c>
      <c r="AA9" s="56">
        <v>100070</v>
      </c>
      <c r="AB9" s="56">
        <v>130400</v>
      </c>
    </row>
    <row r="10" spans="1:28" ht="18" customHeight="1">
      <c r="A10" s="168"/>
      <c r="B10" s="11" t="s">
        <v>15</v>
      </c>
      <c r="C10" s="12"/>
      <c r="D10" s="12"/>
      <c r="E10" s="12"/>
      <c r="F10" s="46">
        <v>246071</v>
      </c>
      <c r="G10" s="46">
        <v>246339</v>
      </c>
      <c r="H10" s="46">
        <v>247784</v>
      </c>
      <c r="I10" s="56">
        <v>236985</v>
      </c>
      <c r="J10" s="56">
        <v>227623</v>
      </c>
      <c r="K10" s="56">
        <v>221592</v>
      </c>
      <c r="L10" s="56">
        <v>215664</v>
      </c>
      <c r="M10" s="56">
        <v>212771</v>
      </c>
      <c r="N10" s="56">
        <v>214687</v>
      </c>
      <c r="O10" s="56">
        <v>202147</v>
      </c>
      <c r="P10" s="56">
        <v>190308</v>
      </c>
      <c r="Q10" s="56">
        <v>187576</v>
      </c>
      <c r="R10" s="56">
        <v>171887</v>
      </c>
      <c r="S10" s="56">
        <v>155074</v>
      </c>
      <c r="T10" s="56">
        <v>147983</v>
      </c>
      <c r="U10" s="56">
        <v>138334</v>
      </c>
      <c r="V10" s="56">
        <v>139259</v>
      </c>
      <c r="W10" s="56">
        <v>134470</v>
      </c>
      <c r="X10" s="56">
        <v>133123</v>
      </c>
      <c r="Y10" s="56">
        <v>134043</v>
      </c>
      <c r="Z10" s="56">
        <v>134040</v>
      </c>
      <c r="AA10" s="56">
        <v>136517</v>
      </c>
      <c r="AB10" s="56">
        <v>136189</v>
      </c>
    </row>
    <row r="11" spans="1:28" ht="18" customHeight="1">
      <c r="A11" s="168"/>
      <c r="B11" s="11" t="s">
        <v>16</v>
      </c>
      <c r="C11" s="12"/>
      <c r="D11" s="12"/>
      <c r="E11" s="12"/>
      <c r="F11" s="46">
        <v>297495</v>
      </c>
      <c r="G11" s="46">
        <v>301980</v>
      </c>
      <c r="H11" s="46">
        <v>299510</v>
      </c>
      <c r="I11" s="56">
        <v>285893</v>
      </c>
      <c r="J11" s="56">
        <v>276073</v>
      </c>
      <c r="K11" s="56">
        <v>279314</v>
      </c>
      <c r="L11" s="56">
        <v>279467</v>
      </c>
      <c r="M11" s="56">
        <v>292474</v>
      </c>
      <c r="N11" s="56">
        <v>311600</v>
      </c>
      <c r="O11" s="56">
        <v>305096</v>
      </c>
      <c r="P11" s="56">
        <v>303808</v>
      </c>
      <c r="Q11" s="56">
        <v>296899</v>
      </c>
      <c r="R11" s="56">
        <v>283657</v>
      </c>
      <c r="S11" s="56">
        <v>282879</v>
      </c>
      <c r="T11" s="56">
        <v>284294</v>
      </c>
      <c r="U11" s="56">
        <v>279487</v>
      </c>
      <c r="V11" s="56">
        <v>283981</v>
      </c>
      <c r="W11" s="56">
        <v>273563</v>
      </c>
      <c r="X11" s="56">
        <v>276461</v>
      </c>
      <c r="Y11" s="56">
        <v>287358</v>
      </c>
      <c r="Z11" s="56">
        <v>285943</v>
      </c>
      <c r="AA11" s="56">
        <v>288611</v>
      </c>
      <c r="AB11" s="56">
        <v>292256</v>
      </c>
    </row>
    <row r="12" spans="1:28" ht="18" customHeight="1">
      <c r="A12" s="168"/>
      <c r="B12" s="11" t="s">
        <v>187</v>
      </c>
      <c r="C12" s="12"/>
      <c r="D12" s="12"/>
      <c r="E12" s="12"/>
      <c r="F12" s="46">
        <v>87794</v>
      </c>
      <c r="G12" s="46">
        <v>87055</v>
      </c>
      <c r="H12" s="46">
        <v>84579</v>
      </c>
      <c r="I12" s="56">
        <v>78087</v>
      </c>
      <c r="J12" s="56">
        <v>71982</v>
      </c>
      <c r="K12" s="56">
        <v>71200</v>
      </c>
      <c r="L12" s="56">
        <v>71342</v>
      </c>
      <c r="M12" s="56">
        <v>73138</v>
      </c>
      <c r="N12" s="56">
        <v>78678</v>
      </c>
      <c r="O12" s="56">
        <v>94511</v>
      </c>
      <c r="P12" s="56">
        <v>104487</v>
      </c>
      <c r="Q12" s="56">
        <v>106828</v>
      </c>
      <c r="R12" s="56">
        <v>108003</v>
      </c>
      <c r="S12" s="56">
        <v>117673</v>
      </c>
      <c r="T12" s="56">
        <v>132105</v>
      </c>
      <c r="U12" s="56">
        <v>145901</v>
      </c>
      <c r="V12" s="56">
        <v>151197</v>
      </c>
      <c r="W12" s="56">
        <v>153099</v>
      </c>
      <c r="X12" s="56">
        <v>154134</v>
      </c>
      <c r="Y12" s="56">
        <v>156229</v>
      </c>
      <c r="Z12" s="56">
        <v>161676</v>
      </c>
      <c r="AA12" s="56">
        <v>166276</v>
      </c>
      <c r="AB12" s="56">
        <v>178182</v>
      </c>
    </row>
    <row r="13" spans="1:28" ht="18" customHeight="1">
      <c r="A13" s="168"/>
      <c r="B13" s="11" t="s">
        <v>11</v>
      </c>
      <c r="C13" s="12"/>
      <c r="D13" s="12"/>
      <c r="E13" s="12"/>
      <c r="F13" s="47">
        <v>6151</v>
      </c>
      <c r="G13" s="47">
        <v>5784</v>
      </c>
      <c r="H13" s="47">
        <v>6360</v>
      </c>
      <c r="I13" s="56">
        <v>6518</v>
      </c>
      <c r="J13" s="56">
        <v>6435</v>
      </c>
      <c r="K13" s="56">
        <v>6484</v>
      </c>
      <c r="L13" s="56">
        <v>6477</v>
      </c>
      <c r="M13" s="56">
        <v>6559</v>
      </c>
      <c r="N13" s="56">
        <v>6745</v>
      </c>
      <c r="O13" s="56">
        <v>7005</v>
      </c>
      <c r="P13" s="56">
        <v>7067</v>
      </c>
      <c r="Q13" s="56">
        <v>7065</v>
      </c>
      <c r="R13" s="56">
        <v>6793</v>
      </c>
      <c r="S13" s="56">
        <v>6981</v>
      </c>
      <c r="T13" s="56">
        <v>7024</v>
      </c>
      <c r="U13" s="56">
        <v>6864</v>
      </c>
      <c r="V13" s="56">
        <v>6906</v>
      </c>
      <c r="W13" s="56">
        <v>6751</v>
      </c>
      <c r="X13" s="56">
        <v>6882</v>
      </c>
      <c r="Y13" s="56">
        <v>6962</v>
      </c>
      <c r="Z13" s="56">
        <v>7225</v>
      </c>
      <c r="AA13" s="56">
        <v>7181</v>
      </c>
      <c r="AB13" s="56">
        <v>7080</v>
      </c>
    </row>
    <row r="14" spans="1:28" ht="18" customHeight="1">
      <c r="A14" s="168"/>
      <c r="B14" s="10" t="s">
        <v>79</v>
      </c>
      <c r="C14" s="13"/>
      <c r="D14" s="13"/>
      <c r="E14" s="13"/>
      <c r="F14" s="48">
        <v>51960</v>
      </c>
      <c r="G14" s="48">
        <v>53884</v>
      </c>
      <c r="H14" s="48">
        <v>48804</v>
      </c>
      <c r="I14" s="56">
        <v>48789</v>
      </c>
      <c r="J14" s="56">
        <v>45884.666666666664</v>
      </c>
      <c r="K14" s="56">
        <v>42352</v>
      </c>
      <c r="L14" s="56">
        <v>36893</v>
      </c>
      <c r="M14" s="56">
        <v>37184</v>
      </c>
      <c r="N14" s="56">
        <v>36399</v>
      </c>
      <c r="O14" s="56">
        <v>35460.166666666672</v>
      </c>
      <c r="P14" s="56">
        <v>39216</v>
      </c>
      <c r="Q14" s="56">
        <v>36445</v>
      </c>
      <c r="R14" s="56">
        <v>35689</v>
      </c>
      <c r="S14" s="56">
        <v>34269</v>
      </c>
      <c r="T14" s="56">
        <v>33281.43</v>
      </c>
      <c r="U14" s="56">
        <v>27901</v>
      </c>
      <c r="V14" s="56">
        <v>28373</v>
      </c>
      <c r="W14" s="56">
        <v>29330</v>
      </c>
      <c r="X14" s="56">
        <v>28248</v>
      </c>
      <c r="Y14" s="56">
        <v>29359</v>
      </c>
      <c r="Z14" s="56">
        <v>29484</v>
      </c>
      <c r="AA14" s="56">
        <v>33075</v>
      </c>
      <c r="AB14" s="56">
        <v>34960.75</v>
      </c>
    </row>
    <row r="15" spans="1:28" ht="18.75" customHeight="1">
      <c r="A15" s="168"/>
      <c r="B15" s="15"/>
      <c r="C15" s="15"/>
      <c r="D15" s="15"/>
      <c r="E15" s="15"/>
      <c r="F15" s="57"/>
      <c r="G15" s="57"/>
      <c r="H15" s="57"/>
      <c r="I15" s="57"/>
      <c r="J15" s="57"/>
      <c r="K15" s="57"/>
      <c r="L15" s="57"/>
      <c r="M15" s="57"/>
      <c r="N15" s="57"/>
      <c r="O15" s="57"/>
      <c r="P15" s="57"/>
      <c r="Q15" s="57"/>
      <c r="R15" s="57"/>
      <c r="S15" s="57"/>
      <c r="T15" s="57"/>
      <c r="U15" s="57"/>
      <c r="V15" s="57"/>
      <c r="W15" s="57"/>
      <c r="X15" s="57"/>
      <c r="Y15" s="57"/>
      <c r="Z15" s="57"/>
      <c r="AA15" s="57"/>
      <c r="AB15" s="57"/>
    </row>
    <row r="16" spans="1:28" ht="18.75" customHeight="1">
      <c r="A16" s="168"/>
      <c r="B16" s="191" t="s">
        <v>80</v>
      </c>
      <c r="C16" s="191"/>
      <c r="D16" s="191"/>
      <c r="E16" s="191"/>
      <c r="F16" s="191"/>
      <c r="G16" s="191"/>
      <c r="H16" s="191"/>
      <c r="I16" s="191"/>
      <c r="J16" s="191"/>
      <c r="K16" s="191"/>
      <c r="L16" s="191"/>
      <c r="M16" s="191"/>
      <c r="N16" s="191"/>
      <c r="O16" s="191"/>
      <c r="P16" s="191"/>
      <c r="Q16" s="191"/>
      <c r="R16" s="191"/>
      <c r="S16" s="191"/>
      <c r="T16" s="191"/>
      <c r="U16" s="191"/>
      <c r="V16" s="191"/>
      <c r="W16" s="191"/>
      <c r="X16" s="191"/>
      <c r="Y16" s="191"/>
      <c r="Z16" s="191"/>
      <c r="AA16" s="191"/>
      <c r="AB16" s="191"/>
    </row>
    <row r="17" spans="1:29" ht="21" customHeight="1">
      <c r="A17" s="168"/>
      <c r="B17" s="9" t="s">
        <v>119</v>
      </c>
      <c r="C17" s="44"/>
      <c r="D17" s="44"/>
      <c r="E17" s="44"/>
      <c r="F17" s="52">
        <v>100</v>
      </c>
      <c r="G17" s="52">
        <v>100</v>
      </c>
      <c r="H17" s="52">
        <v>100</v>
      </c>
      <c r="I17" s="52">
        <v>100</v>
      </c>
      <c r="J17" s="52">
        <v>100</v>
      </c>
      <c r="K17" s="52">
        <v>100</v>
      </c>
      <c r="L17" s="52">
        <v>100</v>
      </c>
      <c r="M17" s="52">
        <v>100</v>
      </c>
      <c r="N17" s="52">
        <v>100</v>
      </c>
      <c r="O17" s="52">
        <v>99.999999999999986</v>
      </c>
      <c r="P17" s="52">
        <v>100</v>
      </c>
      <c r="Q17" s="52">
        <v>100</v>
      </c>
      <c r="R17" s="52">
        <v>100</v>
      </c>
      <c r="S17" s="52">
        <v>100</v>
      </c>
      <c r="T17" s="52">
        <v>100</v>
      </c>
      <c r="U17" s="52">
        <v>100</v>
      </c>
      <c r="V17" s="52">
        <v>100</v>
      </c>
      <c r="W17" s="52">
        <v>100</v>
      </c>
      <c r="X17" s="52">
        <v>100</v>
      </c>
      <c r="Y17" s="52">
        <v>100</v>
      </c>
      <c r="Z17" s="52">
        <v>100</v>
      </c>
      <c r="AA17" s="52">
        <v>100</v>
      </c>
      <c r="AB17" s="52">
        <v>100</v>
      </c>
    </row>
    <row r="18" spans="1:29" ht="18" customHeight="1">
      <c r="A18" s="168"/>
      <c r="B18" s="11" t="s">
        <v>13</v>
      </c>
      <c r="C18" s="12"/>
      <c r="D18" s="12"/>
      <c r="E18" s="12"/>
      <c r="F18" s="53">
        <v>22.813221974352988</v>
      </c>
      <c r="G18" s="53">
        <v>22.374581007810573</v>
      </c>
      <c r="H18" s="53">
        <v>22.451063881679367</v>
      </c>
      <c r="I18" s="53">
        <v>22.293325420410145</v>
      </c>
      <c r="J18" s="53">
        <v>21.762559841355777</v>
      </c>
      <c r="K18" s="53">
        <v>20.365399264241301</v>
      </c>
      <c r="L18" s="53">
        <v>19.311321932037576</v>
      </c>
      <c r="M18" s="53">
        <v>17.607932790692605</v>
      </c>
      <c r="N18" s="53">
        <v>16.634619642611586</v>
      </c>
      <c r="O18" s="53">
        <v>15.305720030276571</v>
      </c>
      <c r="P18" s="53">
        <v>14.351731428694157</v>
      </c>
      <c r="Q18" s="53">
        <v>13.859118772130065</v>
      </c>
      <c r="R18" s="53">
        <v>13.319039093524507</v>
      </c>
      <c r="S18" s="53">
        <v>11.951396885811823</v>
      </c>
      <c r="T18" s="53">
        <v>10.793784418079513</v>
      </c>
      <c r="U18" s="53">
        <v>9.7566976810186699</v>
      </c>
      <c r="V18" s="53">
        <v>8.9857039461546702</v>
      </c>
      <c r="W18" s="53">
        <v>8.7703390522983486</v>
      </c>
      <c r="X18" s="53">
        <v>8.4025752708374135</v>
      </c>
      <c r="Y18" s="53">
        <v>8.1261952764230596</v>
      </c>
      <c r="Z18" s="53">
        <v>8.4048220509704858</v>
      </c>
      <c r="AA18" s="53">
        <v>8.3907250194365961</v>
      </c>
      <c r="AB18" s="53">
        <v>3.519677518727041</v>
      </c>
      <c r="AC18" s="111"/>
    </row>
    <row r="19" spans="1:29" ht="18" customHeight="1">
      <c r="A19" s="168"/>
      <c r="B19" s="11" t="s">
        <v>188</v>
      </c>
      <c r="C19" s="12"/>
      <c r="D19" s="12"/>
      <c r="E19" s="12"/>
      <c r="F19" s="53">
        <v>8.6750699305910928</v>
      </c>
      <c r="G19" s="53">
        <v>8.4526946870596102</v>
      </c>
      <c r="H19" s="53">
        <v>7.7307990138592206</v>
      </c>
      <c r="I19" s="53">
        <v>6.634184694558277</v>
      </c>
      <c r="J19" s="53">
        <v>6.610568880670102</v>
      </c>
      <c r="K19" s="53">
        <v>6.3017791661007738</v>
      </c>
      <c r="L19" s="53">
        <v>6.0749950448653793</v>
      </c>
      <c r="M19" s="53">
        <v>7.0593748410705244</v>
      </c>
      <c r="N19" s="53">
        <v>7.8382359453405961</v>
      </c>
      <c r="O19" s="53">
        <v>8.2849793138430705</v>
      </c>
      <c r="P19" s="53">
        <v>8.7015298999873529</v>
      </c>
      <c r="Q19" s="53">
        <v>8.9780756612734027</v>
      </c>
      <c r="R19" s="53">
        <v>10.110037007508899</v>
      </c>
      <c r="S19" s="53">
        <v>11.762623351426793</v>
      </c>
      <c r="T19" s="53">
        <v>12.166688667193956</v>
      </c>
      <c r="U19" s="53">
        <v>12.329409130378746</v>
      </c>
      <c r="V19" s="53">
        <v>12.352327221074713</v>
      </c>
      <c r="W19" s="53">
        <v>12.520790445488835</v>
      </c>
      <c r="X19" s="53">
        <v>12.364184365258717</v>
      </c>
      <c r="Y19" s="53">
        <v>12.324628006654677</v>
      </c>
      <c r="Z19" s="53">
        <v>12.502286317270489</v>
      </c>
      <c r="AA19" s="53">
        <v>12.52830982371227</v>
      </c>
      <c r="AB19" s="53">
        <v>16.148831794870208</v>
      </c>
    </row>
    <row r="20" spans="1:29" ht="18" customHeight="1">
      <c r="A20" s="168"/>
      <c r="B20" s="11" t="s">
        <v>15</v>
      </c>
      <c r="C20" s="12"/>
      <c r="D20" s="12"/>
      <c r="E20" s="12"/>
      <c r="F20" s="53">
        <v>24.451709386846591</v>
      </c>
      <c r="G20" s="53">
        <v>24.516417328163442</v>
      </c>
      <c r="H20" s="53">
        <v>25.180328401951957</v>
      </c>
      <c r="I20" s="53">
        <v>25.664837164170052</v>
      </c>
      <c r="J20" s="53">
        <v>25.961757799906323</v>
      </c>
      <c r="K20" s="53">
        <v>26.169862237155225</v>
      </c>
      <c r="L20" s="53">
        <v>26.386275378241944</v>
      </c>
      <c r="M20" s="53">
        <v>25.764254006233667</v>
      </c>
      <c r="N20" s="53">
        <v>25.018470739319017</v>
      </c>
      <c r="O20" s="53">
        <v>23.976174101749919</v>
      </c>
      <c r="P20" s="53">
        <v>22.707238090238089</v>
      </c>
      <c r="Q20" s="53">
        <v>22.800242617841651</v>
      </c>
      <c r="R20" s="53">
        <v>21.717684130993188</v>
      </c>
      <c r="S20" s="53">
        <v>19.819815214098838</v>
      </c>
      <c r="T20" s="53">
        <v>18.853608899100109</v>
      </c>
      <c r="U20" s="53">
        <v>18.008980145520539</v>
      </c>
      <c r="V20" s="53">
        <v>17.966376341908042</v>
      </c>
      <c r="W20" s="53">
        <v>17.722289729849411</v>
      </c>
      <c r="X20" s="53">
        <v>17.613428878386461</v>
      </c>
      <c r="Y20" s="53">
        <v>17.367852311774737</v>
      </c>
      <c r="Z20" s="53">
        <v>17.144501646787965</v>
      </c>
      <c r="AA20" s="53">
        <v>17.091308805873169</v>
      </c>
      <c r="AB20" s="53">
        <v>16.865745807604132</v>
      </c>
    </row>
    <row r="21" spans="1:29" ht="18" customHeight="1">
      <c r="A21" s="168"/>
      <c r="B21" s="11" t="s">
        <v>16</v>
      </c>
      <c r="C21" s="12"/>
      <c r="D21" s="12"/>
      <c r="E21" s="12"/>
      <c r="F21" s="53">
        <v>29.561635804462639</v>
      </c>
      <c r="G21" s="53">
        <v>30.053981321507337</v>
      </c>
      <c r="H21" s="53">
        <v>30.436832723939524</v>
      </c>
      <c r="I21" s="53">
        <v>30.961441827018877</v>
      </c>
      <c r="J21" s="53">
        <v>31.487768639783933</v>
      </c>
      <c r="K21" s="53">
        <v>32.98679059220899</v>
      </c>
      <c r="L21" s="53">
        <v>34.192508815245667</v>
      </c>
      <c r="M21" s="53">
        <v>35.415420457765322</v>
      </c>
      <c r="N21" s="53">
        <v>36.312191620227615</v>
      </c>
      <c r="O21" s="53">
        <v>36.18670973968198</v>
      </c>
      <c r="P21" s="53">
        <v>36.249871732765058</v>
      </c>
      <c r="Q21" s="53">
        <v>36.088674633186379</v>
      </c>
      <c r="R21" s="53">
        <v>35.839668663395919</v>
      </c>
      <c r="S21" s="53">
        <v>36.154413428099268</v>
      </c>
      <c r="T21" s="53">
        <v>36.220159669426671</v>
      </c>
      <c r="U21" s="53">
        <v>36.384951161183068</v>
      </c>
      <c r="V21" s="53">
        <v>36.637556782336418</v>
      </c>
      <c r="W21" s="53">
        <v>36.053861421631552</v>
      </c>
      <c r="X21" s="53">
        <v>36.578398632449684</v>
      </c>
      <c r="Y21" s="53">
        <v>37.232763401348556</v>
      </c>
      <c r="Z21" s="53">
        <v>36.573785693729413</v>
      </c>
      <c r="AA21" s="53">
        <v>36.132787314194289</v>
      </c>
      <c r="AB21" s="53">
        <v>36.19319773804898</v>
      </c>
    </row>
    <row r="22" spans="1:29" ht="18" customHeight="1">
      <c r="A22" s="168"/>
      <c r="B22" s="11" t="s">
        <v>187</v>
      </c>
      <c r="C22" s="12"/>
      <c r="D22" s="12"/>
      <c r="E22" s="12"/>
      <c r="F22" s="53">
        <v>8.723959239035926</v>
      </c>
      <c r="G22" s="53">
        <v>8.6639821973104887</v>
      </c>
      <c r="H22" s="53">
        <v>8.5950949048715604</v>
      </c>
      <c r="I22" s="53">
        <v>8.4566117671521273</v>
      </c>
      <c r="J22" s="53">
        <v>8.2099754855742031</v>
      </c>
      <c r="K22" s="53">
        <v>8.4086708513188739</v>
      </c>
      <c r="L22" s="53">
        <v>8.7286225704546734</v>
      </c>
      <c r="M22" s="53">
        <v>8.8562163523596631</v>
      </c>
      <c r="N22" s="53">
        <v>9.1687118494745459</v>
      </c>
      <c r="O22" s="53">
        <v>11.209724559506133</v>
      </c>
      <c r="P22" s="53">
        <v>12.467217281116438</v>
      </c>
      <c r="Q22" s="53">
        <v>12.985159713283084</v>
      </c>
      <c r="R22" s="53">
        <v>13.646029305297418</v>
      </c>
      <c r="S22" s="53">
        <v>15.039639886045713</v>
      </c>
      <c r="T22" s="53">
        <v>16.830690036123205</v>
      </c>
      <c r="U22" s="53">
        <v>18.994088309537727</v>
      </c>
      <c r="V22" s="53">
        <v>19.506546821156768</v>
      </c>
      <c r="W22" s="53">
        <v>20.177473305199786</v>
      </c>
      <c r="X22" s="53">
        <v>20.393382411312984</v>
      </c>
      <c r="Y22" s="53">
        <v>20.242475913074575</v>
      </c>
      <c r="Z22" s="53">
        <v>20.679308029290443</v>
      </c>
      <c r="AA22" s="53">
        <v>20.817000542096348</v>
      </c>
      <c r="AB22" s="53">
        <v>22.066189776637756</v>
      </c>
    </row>
    <row r="23" spans="1:29" ht="18" customHeight="1">
      <c r="A23" s="168"/>
      <c r="B23" s="11" t="s">
        <v>11</v>
      </c>
      <c r="C23" s="12"/>
      <c r="D23" s="12"/>
      <c r="E23" s="12"/>
      <c r="F23" s="53">
        <v>0.61121572407351288</v>
      </c>
      <c r="G23" s="53">
        <v>0.5756415258083265</v>
      </c>
      <c r="H23" s="53">
        <v>0.64631650403744567</v>
      </c>
      <c r="I23" s="53">
        <v>0.70588184330679327</v>
      </c>
      <c r="J23" s="53">
        <v>0.7339500465348282</v>
      </c>
      <c r="K23" s="53">
        <v>0.7657559241566233</v>
      </c>
      <c r="L23" s="53">
        <v>0.7924544922883423</v>
      </c>
      <c r="M23" s="53">
        <v>0.79422356442789022</v>
      </c>
      <c r="N23" s="53">
        <v>0.78602609909639043</v>
      </c>
      <c r="O23" s="53">
        <v>0.83084636221540842</v>
      </c>
      <c r="P23" s="53">
        <v>0.84322283657919039</v>
      </c>
      <c r="Q23" s="53">
        <v>0.85876505573768103</v>
      </c>
      <c r="R23" s="53">
        <v>0.85828613159713496</v>
      </c>
      <c r="S23" s="53">
        <v>0.89223293401617287</v>
      </c>
      <c r="T23" s="53">
        <v>0.89488487804193173</v>
      </c>
      <c r="U23" s="53">
        <v>0.89358826983137163</v>
      </c>
      <c r="V23" s="53">
        <v>0.89097146336837785</v>
      </c>
      <c r="W23" s="53">
        <v>0.88973881137958943</v>
      </c>
      <c r="X23" s="53">
        <v>0.91055352975109949</v>
      </c>
      <c r="Y23" s="53">
        <v>0.90206118778731981</v>
      </c>
      <c r="Z23" s="53">
        <v>0.92411984779202505</v>
      </c>
      <c r="AA23" s="53">
        <v>0.89902860841488774</v>
      </c>
      <c r="AB23" s="53">
        <v>0.87679240113252355</v>
      </c>
    </row>
    <row r="24" spans="1:29" ht="18" customHeight="1">
      <c r="A24" s="168"/>
      <c r="B24" s="10" t="s">
        <v>79</v>
      </c>
      <c r="C24" s="13"/>
      <c r="D24" s="13"/>
      <c r="E24" s="13"/>
      <c r="F24" s="54">
        <v>5.1631879406372505</v>
      </c>
      <c r="G24" s="54"/>
      <c r="H24" s="54">
        <v>4.9595645696609276</v>
      </c>
      <c r="I24" s="54">
        <v>5.2837172833837274</v>
      </c>
      <c r="J24" s="54">
        <v>5.2334193061748371</v>
      </c>
      <c r="K24" s="54">
        <v>5.0017419648182155</v>
      </c>
      <c r="L24" s="54">
        <v>4.513821766866422</v>
      </c>
      <c r="M24" s="54">
        <v>4.5025779874503229</v>
      </c>
      <c r="N24" s="54">
        <v>4.2417441039302473</v>
      </c>
      <c r="O24" s="54">
        <v>4.2058458927269218</v>
      </c>
      <c r="P24" s="54">
        <v>4.6791887306197157</v>
      </c>
      <c r="Q24" s="54">
        <v>4.4299635465477403</v>
      </c>
      <c r="R24" s="54">
        <v>4.5092556676829307</v>
      </c>
      <c r="S24" s="54">
        <v>4.3798783005013942</v>
      </c>
      <c r="T24" s="54">
        <v>4.2401834320346081</v>
      </c>
      <c r="U24" s="54">
        <v>3.6322853025298807</v>
      </c>
      <c r="V24" s="54">
        <v>3.6605174240010117</v>
      </c>
      <c r="W24" s="54">
        <v>3.8655072341524748</v>
      </c>
      <c r="X24" s="54">
        <v>3.7374769120036411</v>
      </c>
      <c r="Y24" s="54">
        <v>3.8040239029370762</v>
      </c>
      <c r="Z24" s="54">
        <v>3.771176414159179</v>
      </c>
      <c r="AA24" s="54">
        <v>4.1408398862724427</v>
      </c>
      <c r="AB24" s="54">
        <v>4.3295649629793607</v>
      </c>
    </row>
    <row r="25" spans="1:29">
      <c r="B25" s="171" t="s">
        <v>203</v>
      </c>
      <c r="C25" s="171"/>
      <c r="D25" s="171"/>
      <c r="F25" s="64"/>
      <c r="G25" s="64"/>
      <c r="H25" s="64"/>
      <c r="I25" s="64"/>
      <c r="J25" s="64"/>
      <c r="K25" s="64"/>
      <c r="L25" s="64"/>
      <c r="M25" s="64"/>
      <c r="N25" s="64"/>
      <c r="O25" s="64"/>
      <c r="P25" s="64"/>
      <c r="Q25" s="64"/>
      <c r="R25" s="64"/>
      <c r="S25" s="64"/>
      <c r="T25" s="64"/>
      <c r="U25" s="64"/>
      <c r="V25" s="64"/>
      <c r="W25" s="64"/>
      <c r="X25" s="64"/>
      <c r="Y25" s="64"/>
      <c r="Z25" s="64"/>
      <c r="AA25" s="64"/>
      <c r="AB25" s="64"/>
    </row>
    <row r="26" spans="1:29" ht="12.75" customHeight="1">
      <c r="B26" s="167" t="s">
        <v>200</v>
      </c>
      <c r="C26" s="167"/>
      <c r="D26" s="167"/>
      <c r="E26" s="167"/>
      <c r="F26" s="167"/>
      <c r="G26" s="167"/>
      <c r="H26" s="167"/>
      <c r="I26" s="167"/>
      <c r="J26" s="167"/>
      <c r="K26" s="167"/>
      <c r="L26" s="167"/>
      <c r="M26" s="167"/>
      <c r="N26" s="167"/>
      <c r="O26" s="167"/>
      <c r="P26" s="167"/>
      <c r="Q26" s="167"/>
      <c r="R26" s="167"/>
      <c r="S26" s="167"/>
      <c r="T26" s="167"/>
      <c r="U26" s="167"/>
      <c r="V26" s="167"/>
      <c r="W26" s="167"/>
      <c r="X26" s="167"/>
      <c r="Y26" s="167"/>
      <c r="Z26" s="167"/>
      <c r="AA26" s="167"/>
      <c r="AB26" s="167"/>
    </row>
    <row r="27" spans="1:29">
      <c r="F27" s="64"/>
      <c r="G27" s="64"/>
      <c r="H27" s="64"/>
      <c r="I27" s="64"/>
      <c r="J27" s="64"/>
      <c r="K27" s="64"/>
      <c r="L27" s="64"/>
      <c r="M27" s="64"/>
      <c r="N27" s="64"/>
      <c r="O27" s="64"/>
      <c r="P27" s="64"/>
      <c r="Q27" s="64"/>
      <c r="R27" s="64"/>
      <c r="S27" s="64"/>
      <c r="T27" s="64"/>
      <c r="U27" s="64"/>
      <c r="V27" s="64"/>
      <c r="W27" s="64"/>
      <c r="X27" s="64"/>
      <c r="Y27" s="64"/>
      <c r="Z27" s="64"/>
      <c r="AA27" s="64"/>
      <c r="AB27" s="64"/>
    </row>
    <row r="28" spans="1:29">
      <c r="F28" s="64"/>
      <c r="G28" s="64"/>
      <c r="H28" s="64"/>
      <c r="I28" s="64"/>
      <c r="J28" s="64"/>
      <c r="K28" s="64"/>
      <c r="L28" s="64"/>
      <c r="M28" s="64"/>
      <c r="N28" s="64"/>
      <c r="O28" s="64"/>
      <c r="P28" s="64"/>
      <c r="Q28" s="64"/>
      <c r="R28" s="64"/>
      <c r="S28" s="64"/>
      <c r="T28" s="64"/>
      <c r="U28" s="64"/>
      <c r="V28" s="64"/>
      <c r="W28" s="64"/>
      <c r="X28" s="64"/>
      <c r="Y28" s="64"/>
      <c r="Z28" s="64"/>
      <c r="AA28" s="64"/>
      <c r="AB28" s="64"/>
    </row>
    <row r="29" spans="1:29">
      <c r="F29" s="64"/>
      <c r="G29" s="64"/>
      <c r="H29" s="64"/>
      <c r="I29" s="64"/>
      <c r="J29" s="64"/>
      <c r="K29" s="64"/>
      <c r="L29" s="64"/>
      <c r="M29" s="64"/>
      <c r="N29" s="64"/>
      <c r="O29" s="64"/>
      <c r="P29" s="64"/>
      <c r="Q29" s="64"/>
      <c r="R29" s="64"/>
      <c r="S29" s="64"/>
      <c r="T29" s="64"/>
      <c r="U29" s="64"/>
      <c r="V29" s="64"/>
      <c r="W29" s="64"/>
      <c r="X29" s="64"/>
      <c r="Y29" s="64"/>
      <c r="Z29" s="64"/>
      <c r="AA29" s="64"/>
      <c r="AB29" s="64"/>
    </row>
    <row r="30" spans="1:29">
      <c r="F30" s="64"/>
      <c r="G30" s="64"/>
      <c r="H30" s="64"/>
      <c r="I30" s="64"/>
      <c r="J30" s="64"/>
      <c r="K30" s="64"/>
      <c r="L30" s="64"/>
      <c r="M30" s="64"/>
      <c r="N30" s="64"/>
      <c r="O30" s="64"/>
      <c r="P30" s="64"/>
      <c r="Q30" s="64"/>
      <c r="R30" s="64"/>
      <c r="S30" s="64"/>
      <c r="T30" s="64"/>
      <c r="U30" s="64"/>
      <c r="V30" s="64"/>
      <c r="W30" s="64"/>
      <c r="X30" s="64"/>
      <c r="Y30" s="64"/>
      <c r="Z30" s="64"/>
      <c r="AA30" s="64"/>
      <c r="AB30" s="64"/>
    </row>
    <row r="31" spans="1:29">
      <c r="F31" s="64"/>
      <c r="G31" s="64"/>
      <c r="H31" s="64"/>
      <c r="I31" s="64"/>
      <c r="J31" s="64"/>
      <c r="K31" s="64"/>
      <c r="L31" s="64"/>
      <c r="M31" s="64"/>
      <c r="N31" s="64"/>
      <c r="O31" s="64"/>
      <c r="P31" s="64"/>
      <c r="Q31" s="64"/>
      <c r="R31" s="64"/>
      <c r="S31" s="64"/>
      <c r="T31" s="64"/>
      <c r="U31" s="64"/>
      <c r="V31" s="64"/>
      <c r="W31" s="64"/>
      <c r="X31" s="64"/>
      <c r="Y31" s="64"/>
      <c r="Z31" s="64"/>
      <c r="AA31" s="64"/>
      <c r="AB31" s="64"/>
    </row>
    <row r="32" spans="1:29">
      <c r="F32" s="64"/>
      <c r="G32" s="64"/>
      <c r="H32" s="64"/>
      <c r="I32" s="64"/>
      <c r="J32" s="64"/>
      <c r="K32" s="64"/>
      <c r="L32" s="64"/>
      <c r="M32" s="64"/>
      <c r="N32" s="64"/>
      <c r="O32" s="64"/>
      <c r="P32" s="64"/>
      <c r="Q32" s="64"/>
      <c r="R32" s="64"/>
      <c r="S32" s="64"/>
      <c r="T32" s="64"/>
      <c r="U32" s="64"/>
      <c r="V32" s="64"/>
      <c r="W32" s="64"/>
      <c r="X32" s="64"/>
      <c r="Y32" s="64"/>
      <c r="Z32" s="64"/>
      <c r="AA32" s="64"/>
      <c r="AB32" s="64"/>
    </row>
    <row r="33" spans="6:28">
      <c r="F33" s="64"/>
      <c r="G33" s="64"/>
      <c r="H33" s="64"/>
      <c r="I33" s="64"/>
      <c r="J33" s="64"/>
      <c r="K33" s="64"/>
      <c r="L33" s="64"/>
      <c r="M33" s="64"/>
      <c r="N33" s="64"/>
      <c r="O33" s="64"/>
      <c r="P33" s="64"/>
      <c r="Q33" s="64"/>
      <c r="R33" s="64"/>
      <c r="S33" s="64"/>
      <c r="T33" s="64"/>
      <c r="U33" s="64"/>
      <c r="V33" s="64"/>
      <c r="W33" s="64"/>
      <c r="X33" s="64"/>
      <c r="Y33" s="64"/>
      <c r="Z33" s="64"/>
      <c r="AA33" s="64"/>
      <c r="AB33" s="64"/>
    </row>
    <row r="34" spans="6:28">
      <c r="F34" s="64"/>
      <c r="G34" s="64"/>
      <c r="H34" s="64"/>
      <c r="I34" s="64"/>
      <c r="J34" s="64"/>
      <c r="K34" s="64"/>
      <c r="L34" s="64"/>
      <c r="M34" s="64"/>
      <c r="N34" s="64"/>
      <c r="O34" s="64"/>
      <c r="P34" s="64"/>
      <c r="Q34" s="64"/>
      <c r="R34" s="64"/>
      <c r="S34" s="64"/>
      <c r="T34" s="64"/>
      <c r="U34" s="64"/>
      <c r="V34" s="64"/>
      <c r="W34" s="64"/>
      <c r="X34" s="64"/>
      <c r="Y34" s="64"/>
      <c r="Z34" s="64"/>
      <c r="AA34" s="64"/>
      <c r="AB34" s="64"/>
    </row>
    <row r="35" spans="6:28">
      <c r="F35" s="64"/>
      <c r="G35" s="64"/>
      <c r="H35" s="64"/>
      <c r="I35" s="64"/>
      <c r="J35" s="64"/>
      <c r="K35" s="64"/>
      <c r="L35" s="64"/>
      <c r="M35" s="64"/>
      <c r="N35" s="64"/>
      <c r="O35" s="64"/>
      <c r="P35" s="64"/>
      <c r="Q35" s="64"/>
      <c r="R35" s="64"/>
      <c r="S35" s="64"/>
      <c r="T35" s="64"/>
      <c r="U35" s="64"/>
      <c r="V35" s="64"/>
      <c r="W35" s="64"/>
      <c r="X35" s="64"/>
      <c r="Y35" s="64"/>
      <c r="Z35" s="64"/>
      <c r="AA35" s="64"/>
      <c r="AB35" s="64"/>
    </row>
    <row r="36" spans="6:28">
      <c r="F36" s="64"/>
      <c r="G36" s="64"/>
      <c r="H36" s="64"/>
      <c r="I36" s="64"/>
      <c r="J36" s="64"/>
      <c r="K36" s="64"/>
      <c r="L36" s="64"/>
      <c r="M36" s="64"/>
      <c r="N36" s="64"/>
      <c r="O36" s="64"/>
      <c r="P36" s="64"/>
      <c r="Q36" s="64"/>
      <c r="R36" s="64"/>
      <c r="S36" s="64"/>
      <c r="T36" s="64"/>
      <c r="U36" s="64"/>
      <c r="V36" s="64"/>
      <c r="W36" s="64"/>
      <c r="X36" s="64"/>
      <c r="Y36" s="64"/>
      <c r="Z36" s="64"/>
      <c r="AA36" s="64"/>
      <c r="AB36" s="64"/>
    </row>
    <row r="37" spans="6:28">
      <c r="F37" s="64"/>
      <c r="G37" s="64"/>
      <c r="H37" s="64"/>
      <c r="I37" s="64"/>
      <c r="J37" s="64"/>
      <c r="K37" s="64"/>
      <c r="L37" s="64"/>
      <c r="M37" s="64"/>
      <c r="N37" s="64"/>
      <c r="O37" s="64"/>
      <c r="P37" s="64"/>
      <c r="Q37" s="64"/>
      <c r="R37" s="64"/>
      <c r="S37" s="64"/>
      <c r="T37" s="64"/>
      <c r="U37" s="64"/>
      <c r="V37" s="64"/>
      <c r="W37" s="64"/>
      <c r="X37" s="64"/>
      <c r="Y37" s="64"/>
      <c r="Z37" s="64"/>
      <c r="AA37" s="64"/>
      <c r="AB37" s="64"/>
    </row>
    <row r="38" spans="6:28">
      <c r="F38" s="64"/>
      <c r="G38" s="64"/>
      <c r="H38" s="64"/>
      <c r="I38" s="64"/>
      <c r="J38" s="64"/>
      <c r="K38" s="64"/>
      <c r="L38" s="64"/>
      <c r="M38" s="64"/>
      <c r="N38" s="64"/>
      <c r="O38" s="64"/>
      <c r="P38" s="64"/>
      <c r="Q38" s="64"/>
      <c r="R38" s="64"/>
      <c r="S38" s="64"/>
      <c r="T38" s="64"/>
      <c r="U38" s="64"/>
      <c r="V38" s="64"/>
      <c r="W38" s="64"/>
      <c r="X38" s="64"/>
      <c r="Y38" s="64"/>
      <c r="Z38" s="64"/>
      <c r="AA38" s="64"/>
      <c r="AB38" s="64"/>
    </row>
    <row r="39" spans="6:28">
      <c r="F39" s="64"/>
      <c r="G39" s="64"/>
      <c r="H39" s="64"/>
      <c r="I39" s="64"/>
      <c r="J39" s="64"/>
      <c r="K39" s="64"/>
      <c r="L39" s="64"/>
      <c r="M39" s="64"/>
      <c r="N39" s="64"/>
      <c r="O39" s="64"/>
      <c r="P39" s="64"/>
      <c r="Q39" s="64"/>
      <c r="R39" s="64"/>
      <c r="S39" s="64"/>
      <c r="T39" s="64"/>
      <c r="U39" s="64"/>
      <c r="V39" s="64"/>
      <c r="W39" s="64"/>
      <c r="X39" s="64"/>
      <c r="Y39" s="64"/>
      <c r="Z39" s="64"/>
      <c r="AA39" s="64"/>
      <c r="AB39" s="64"/>
    </row>
    <row r="40" spans="6:28">
      <c r="F40" s="64"/>
      <c r="G40" s="64"/>
      <c r="H40" s="64"/>
      <c r="I40" s="64"/>
      <c r="J40" s="64"/>
      <c r="K40" s="64"/>
      <c r="L40" s="64"/>
      <c r="M40" s="64"/>
      <c r="N40" s="64"/>
      <c r="O40" s="64"/>
      <c r="P40" s="64"/>
      <c r="Q40" s="64"/>
      <c r="R40" s="64"/>
      <c r="S40" s="64"/>
      <c r="T40" s="64"/>
      <c r="U40" s="64"/>
      <c r="V40" s="64"/>
      <c r="W40" s="64"/>
      <c r="X40" s="64"/>
      <c r="Y40" s="64"/>
      <c r="Z40" s="64"/>
      <c r="AA40" s="64"/>
      <c r="AB40" s="64"/>
    </row>
    <row r="41" spans="6:28">
      <c r="F41" s="64"/>
      <c r="G41" s="64"/>
      <c r="H41" s="64"/>
      <c r="I41" s="64"/>
      <c r="J41" s="64"/>
      <c r="K41" s="64"/>
      <c r="L41" s="64"/>
      <c r="M41" s="64"/>
      <c r="N41" s="64"/>
      <c r="O41" s="64"/>
      <c r="P41" s="64"/>
      <c r="Q41" s="64"/>
      <c r="R41" s="64"/>
      <c r="S41" s="64"/>
      <c r="T41" s="64"/>
      <c r="U41" s="64"/>
      <c r="V41" s="64"/>
      <c r="W41" s="64"/>
      <c r="X41" s="64"/>
      <c r="Y41" s="64"/>
      <c r="Z41" s="64"/>
      <c r="AA41" s="64"/>
      <c r="AB41" s="64"/>
    </row>
    <row r="42" spans="6:28">
      <c r="F42" s="64"/>
      <c r="G42" s="64"/>
      <c r="H42" s="64"/>
      <c r="I42" s="64"/>
      <c r="J42" s="64"/>
      <c r="K42" s="64"/>
      <c r="L42" s="64"/>
      <c r="M42" s="64"/>
      <c r="N42" s="64"/>
      <c r="O42" s="64"/>
      <c r="P42" s="64"/>
      <c r="Q42" s="64"/>
      <c r="R42" s="64"/>
      <c r="S42" s="64"/>
      <c r="T42" s="64"/>
      <c r="U42" s="64"/>
      <c r="V42" s="64"/>
      <c r="W42" s="64"/>
      <c r="X42" s="64"/>
      <c r="Y42" s="64"/>
      <c r="Z42" s="64"/>
      <c r="AA42" s="64"/>
      <c r="AB42" s="64"/>
    </row>
    <row r="43" spans="6:28">
      <c r="F43" s="64"/>
      <c r="G43" s="64"/>
      <c r="H43" s="64"/>
      <c r="I43" s="64"/>
      <c r="J43" s="64"/>
      <c r="K43" s="64"/>
      <c r="L43" s="64"/>
      <c r="M43" s="64"/>
      <c r="N43" s="64"/>
      <c r="O43" s="64"/>
      <c r="P43" s="64"/>
      <c r="Q43" s="64"/>
      <c r="R43" s="64"/>
      <c r="S43" s="64"/>
      <c r="T43" s="64"/>
      <c r="U43" s="64"/>
      <c r="V43" s="64"/>
      <c r="W43" s="64"/>
      <c r="X43" s="64"/>
      <c r="Y43" s="64"/>
      <c r="Z43" s="64"/>
      <c r="AA43" s="64"/>
      <c r="AB43" s="64"/>
    </row>
    <row r="44" spans="6:28">
      <c r="F44" s="64"/>
      <c r="G44" s="64"/>
      <c r="H44" s="64"/>
      <c r="I44" s="64"/>
      <c r="J44" s="64"/>
      <c r="K44" s="64"/>
      <c r="L44" s="64"/>
      <c r="M44" s="64"/>
      <c r="N44" s="64"/>
      <c r="O44" s="64"/>
      <c r="P44" s="64"/>
      <c r="Q44" s="64"/>
      <c r="R44" s="64"/>
      <c r="S44" s="64"/>
      <c r="T44" s="64"/>
      <c r="U44" s="64"/>
      <c r="V44" s="64"/>
      <c r="W44" s="64"/>
      <c r="X44" s="64"/>
      <c r="Y44" s="64"/>
      <c r="Z44" s="64"/>
      <c r="AA44" s="64"/>
      <c r="AB44" s="64"/>
    </row>
    <row r="45" spans="6:28">
      <c r="F45" s="64"/>
      <c r="G45" s="64"/>
      <c r="H45" s="64"/>
      <c r="I45" s="64"/>
      <c r="J45" s="64"/>
      <c r="K45" s="64"/>
      <c r="L45" s="64"/>
      <c r="M45" s="64"/>
      <c r="N45" s="64"/>
      <c r="O45" s="64"/>
      <c r="P45" s="64"/>
      <c r="Q45" s="64"/>
      <c r="R45" s="64"/>
      <c r="S45" s="64"/>
      <c r="T45" s="64"/>
      <c r="U45" s="64"/>
      <c r="V45" s="64"/>
      <c r="W45" s="64"/>
      <c r="X45" s="64"/>
      <c r="Y45" s="64"/>
      <c r="Z45" s="64"/>
      <c r="AA45" s="64"/>
      <c r="AB45" s="64"/>
    </row>
    <row r="46" spans="6:28">
      <c r="F46" s="64"/>
      <c r="G46" s="64"/>
      <c r="H46" s="64"/>
      <c r="I46" s="64"/>
      <c r="J46" s="64"/>
      <c r="K46" s="64"/>
      <c r="L46" s="64"/>
      <c r="M46" s="64"/>
      <c r="N46" s="64"/>
      <c r="O46" s="64"/>
      <c r="P46" s="64"/>
      <c r="Q46" s="64"/>
      <c r="R46" s="64"/>
      <c r="S46" s="64"/>
      <c r="T46" s="64"/>
      <c r="U46" s="64"/>
      <c r="V46" s="64"/>
      <c r="W46" s="64"/>
      <c r="X46" s="64"/>
      <c r="Y46" s="64"/>
      <c r="Z46" s="64"/>
      <c r="AA46" s="64"/>
      <c r="AB46" s="64"/>
    </row>
    <row r="47" spans="6:28">
      <c r="F47" s="64"/>
      <c r="G47" s="64"/>
      <c r="H47" s="64"/>
      <c r="I47" s="64"/>
      <c r="J47" s="64"/>
      <c r="K47" s="64"/>
      <c r="L47" s="64"/>
      <c r="M47" s="64"/>
      <c r="N47" s="64"/>
      <c r="O47" s="64"/>
      <c r="P47" s="64"/>
      <c r="Q47" s="64"/>
      <c r="R47" s="64"/>
      <c r="S47" s="64"/>
      <c r="T47" s="64"/>
      <c r="U47" s="64"/>
      <c r="V47" s="64"/>
      <c r="W47" s="64"/>
      <c r="X47" s="64"/>
      <c r="Y47" s="64"/>
      <c r="Z47" s="64"/>
      <c r="AA47" s="64"/>
      <c r="AB47" s="64"/>
    </row>
    <row r="48" spans="6:28">
      <c r="F48" s="64"/>
      <c r="G48" s="64"/>
      <c r="H48" s="64"/>
      <c r="I48" s="64"/>
      <c r="J48" s="64"/>
      <c r="K48" s="64"/>
      <c r="L48" s="64"/>
      <c r="M48" s="64"/>
      <c r="N48" s="64"/>
      <c r="O48" s="64"/>
      <c r="P48" s="64"/>
      <c r="Q48" s="64"/>
      <c r="R48" s="64"/>
      <c r="S48" s="64"/>
      <c r="T48" s="64"/>
      <c r="U48" s="64"/>
      <c r="V48" s="64"/>
      <c r="W48" s="64"/>
      <c r="X48" s="64"/>
      <c r="Y48" s="64"/>
      <c r="Z48" s="64"/>
      <c r="AA48" s="64"/>
      <c r="AB48" s="64"/>
    </row>
    <row r="49" spans="6:28">
      <c r="F49" s="64"/>
      <c r="G49" s="64"/>
      <c r="H49" s="64"/>
      <c r="I49" s="64"/>
      <c r="J49" s="64"/>
      <c r="K49" s="64"/>
      <c r="L49" s="64"/>
      <c r="M49" s="64"/>
      <c r="N49" s="64"/>
      <c r="O49" s="64"/>
      <c r="P49" s="64"/>
      <c r="Q49" s="64"/>
      <c r="R49" s="64"/>
      <c r="S49" s="64"/>
      <c r="T49" s="64"/>
      <c r="U49" s="64"/>
      <c r="V49" s="64"/>
      <c r="W49" s="64"/>
      <c r="X49" s="64"/>
      <c r="Y49" s="64"/>
      <c r="Z49" s="64"/>
      <c r="AA49" s="64"/>
      <c r="AB49" s="64"/>
    </row>
    <row r="50" spans="6:28">
      <c r="F50" s="64"/>
      <c r="G50" s="64"/>
      <c r="H50" s="64"/>
      <c r="I50" s="64"/>
      <c r="J50" s="64"/>
      <c r="K50" s="64"/>
      <c r="L50" s="64"/>
      <c r="M50" s="64"/>
      <c r="N50" s="64"/>
      <c r="O50" s="64"/>
      <c r="P50" s="64"/>
      <c r="Q50" s="64"/>
      <c r="R50" s="64"/>
      <c r="S50" s="64"/>
      <c r="T50" s="64"/>
      <c r="U50" s="64"/>
      <c r="V50" s="64"/>
      <c r="W50" s="64"/>
      <c r="X50" s="64"/>
      <c r="Y50" s="64"/>
      <c r="Z50" s="64"/>
      <c r="AA50" s="64"/>
      <c r="AB50" s="64"/>
    </row>
    <row r="51" spans="6:28">
      <c r="F51" s="64"/>
      <c r="G51" s="64"/>
      <c r="H51" s="64"/>
      <c r="I51" s="64"/>
      <c r="J51" s="64"/>
      <c r="K51" s="64"/>
      <c r="L51" s="64"/>
      <c r="M51" s="64"/>
      <c r="N51" s="64"/>
      <c r="O51" s="64"/>
      <c r="P51" s="64"/>
      <c r="Q51" s="64"/>
      <c r="R51" s="64"/>
      <c r="S51" s="64"/>
      <c r="T51" s="64"/>
      <c r="U51" s="64"/>
      <c r="V51" s="64"/>
      <c r="W51" s="64"/>
      <c r="X51" s="64"/>
      <c r="Y51" s="64"/>
      <c r="Z51" s="64"/>
      <c r="AA51" s="64"/>
      <c r="AB51" s="64"/>
    </row>
    <row r="52" spans="6:28">
      <c r="F52" s="64"/>
      <c r="G52" s="64"/>
      <c r="H52" s="64"/>
      <c r="I52" s="64"/>
      <c r="J52" s="64"/>
      <c r="K52" s="64"/>
      <c r="L52" s="64"/>
      <c r="M52" s="64"/>
      <c r="N52" s="64"/>
      <c r="O52" s="64"/>
      <c r="P52" s="64"/>
      <c r="Q52" s="64"/>
      <c r="R52" s="64"/>
      <c r="S52" s="64"/>
      <c r="T52" s="64"/>
      <c r="U52" s="64"/>
      <c r="V52" s="64"/>
      <c r="W52" s="64"/>
      <c r="X52" s="64"/>
      <c r="Y52" s="64"/>
      <c r="Z52" s="64"/>
      <c r="AA52" s="64"/>
      <c r="AB52" s="64"/>
    </row>
    <row r="53" spans="6:28">
      <c r="F53" s="64"/>
      <c r="G53" s="64"/>
      <c r="H53" s="64"/>
      <c r="I53" s="64"/>
      <c r="J53" s="64"/>
      <c r="K53" s="64"/>
      <c r="L53" s="64"/>
      <c r="M53" s="64"/>
      <c r="N53" s="64"/>
      <c r="O53" s="64"/>
      <c r="P53" s="64"/>
      <c r="Q53" s="64"/>
      <c r="R53" s="64"/>
      <c r="S53" s="64"/>
      <c r="T53" s="64"/>
      <c r="U53" s="64"/>
      <c r="V53" s="64"/>
      <c r="W53" s="64"/>
      <c r="X53" s="64"/>
      <c r="Y53" s="64"/>
      <c r="Z53" s="64"/>
      <c r="AA53" s="64"/>
      <c r="AB53" s="64"/>
    </row>
    <row r="54" spans="6:28">
      <c r="F54" s="64"/>
      <c r="G54" s="64"/>
      <c r="H54" s="64"/>
      <c r="I54" s="64"/>
      <c r="J54" s="64"/>
      <c r="K54" s="64"/>
      <c r="L54" s="64"/>
      <c r="M54" s="64"/>
      <c r="N54" s="64"/>
      <c r="O54" s="64"/>
      <c r="P54" s="64"/>
      <c r="Q54" s="64"/>
      <c r="R54" s="64"/>
      <c r="S54" s="64"/>
      <c r="T54" s="64"/>
      <c r="U54" s="64"/>
      <c r="V54" s="64"/>
      <c r="W54" s="64"/>
      <c r="X54" s="64"/>
      <c r="Y54" s="64"/>
      <c r="Z54" s="64"/>
      <c r="AA54" s="64"/>
      <c r="AB54" s="64"/>
    </row>
    <row r="55" spans="6:28">
      <c r="F55" s="64"/>
      <c r="G55" s="64"/>
      <c r="H55" s="64"/>
      <c r="I55" s="64"/>
      <c r="J55" s="64"/>
      <c r="K55" s="64"/>
      <c r="L55" s="64"/>
      <c r="M55" s="64"/>
      <c r="N55" s="64"/>
      <c r="O55" s="64"/>
      <c r="P55" s="64"/>
      <c r="Q55" s="64"/>
      <c r="R55" s="64"/>
      <c r="S55" s="64"/>
      <c r="T55" s="64"/>
      <c r="U55" s="64"/>
      <c r="V55" s="64"/>
      <c r="W55" s="64"/>
      <c r="X55" s="64"/>
      <c r="Y55" s="64"/>
      <c r="Z55" s="64"/>
      <c r="AA55" s="64"/>
      <c r="AB55" s="64"/>
    </row>
    <row r="56" spans="6:28">
      <c r="F56" s="64"/>
      <c r="G56" s="64"/>
      <c r="H56" s="64"/>
      <c r="I56" s="64"/>
      <c r="J56" s="64"/>
      <c r="K56" s="64"/>
      <c r="L56" s="64"/>
      <c r="M56" s="64"/>
      <c r="N56" s="64"/>
      <c r="O56" s="64"/>
      <c r="P56" s="64"/>
      <c r="Q56" s="64"/>
      <c r="R56" s="64"/>
      <c r="S56" s="64"/>
      <c r="T56" s="64"/>
      <c r="U56" s="64"/>
      <c r="V56" s="64"/>
      <c r="W56" s="64"/>
      <c r="X56" s="64"/>
      <c r="Y56" s="64"/>
      <c r="Z56" s="64"/>
      <c r="AA56" s="64"/>
      <c r="AB56" s="64"/>
    </row>
    <row r="57" spans="6:28">
      <c r="F57" s="64"/>
      <c r="G57" s="64"/>
      <c r="H57" s="64"/>
      <c r="I57" s="64"/>
      <c r="J57" s="64"/>
      <c r="K57" s="64"/>
      <c r="L57" s="64"/>
      <c r="M57" s="64"/>
      <c r="N57" s="64"/>
      <c r="O57" s="64"/>
      <c r="P57" s="64"/>
      <c r="Q57" s="64"/>
      <c r="R57" s="64"/>
      <c r="S57" s="64"/>
      <c r="T57" s="64"/>
      <c r="U57" s="64"/>
      <c r="V57" s="64"/>
      <c r="W57" s="64"/>
      <c r="X57" s="64"/>
      <c r="Y57" s="64"/>
      <c r="Z57" s="64"/>
      <c r="AA57" s="64"/>
      <c r="AB57" s="64"/>
    </row>
    <row r="58" spans="6:28">
      <c r="F58" s="64"/>
      <c r="G58" s="64"/>
      <c r="H58" s="64"/>
      <c r="I58" s="64"/>
      <c r="J58" s="64"/>
      <c r="K58" s="64"/>
      <c r="L58" s="64"/>
      <c r="M58" s="64"/>
      <c r="N58" s="64"/>
      <c r="O58" s="64"/>
      <c r="P58" s="64"/>
      <c r="Q58" s="64"/>
      <c r="R58" s="64"/>
      <c r="S58" s="64"/>
      <c r="T58" s="64"/>
      <c r="U58" s="64"/>
      <c r="V58" s="64"/>
      <c r="W58" s="64"/>
      <c r="X58" s="64"/>
      <c r="Y58" s="64"/>
      <c r="Z58" s="64"/>
      <c r="AA58" s="64"/>
      <c r="AB58" s="64"/>
    </row>
    <row r="59" spans="6:28">
      <c r="F59" s="64"/>
      <c r="G59" s="64"/>
      <c r="H59" s="64"/>
      <c r="I59" s="64"/>
      <c r="J59" s="64"/>
      <c r="K59" s="64"/>
      <c r="L59" s="64"/>
      <c r="M59" s="64"/>
      <c r="N59" s="64"/>
      <c r="O59" s="64"/>
      <c r="P59" s="64"/>
      <c r="Q59" s="64"/>
      <c r="R59" s="64"/>
      <c r="S59" s="64"/>
      <c r="T59" s="64"/>
      <c r="U59" s="64"/>
      <c r="V59" s="64"/>
      <c r="W59" s="64"/>
      <c r="X59" s="64"/>
      <c r="Y59" s="64"/>
      <c r="Z59" s="64"/>
      <c r="AA59" s="64"/>
      <c r="AB59" s="64"/>
    </row>
    <row r="60" spans="6:28">
      <c r="F60" s="64"/>
      <c r="G60" s="64"/>
      <c r="H60" s="64"/>
      <c r="I60" s="64"/>
      <c r="J60" s="64"/>
      <c r="K60" s="64"/>
      <c r="L60" s="64"/>
      <c r="M60" s="64"/>
      <c r="N60" s="64"/>
      <c r="O60" s="64"/>
      <c r="P60" s="64"/>
      <c r="Q60" s="64"/>
      <c r="R60" s="64"/>
      <c r="S60" s="64"/>
      <c r="T60" s="64"/>
      <c r="U60" s="64"/>
      <c r="V60" s="64"/>
      <c r="W60" s="64"/>
      <c r="X60" s="64"/>
      <c r="Y60" s="64"/>
      <c r="Z60" s="64"/>
      <c r="AA60" s="64"/>
      <c r="AB60" s="64"/>
    </row>
    <row r="61" spans="6:28">
      <c r="F61" s="64"/>
      <c r="G61" s="64"/>
      <c r="H61" s="64"/>
      <c r="I61" s="64"/>
      <c r="J61" s="64"/>
      <c r="K61" s="64"/>
      <c r="L61" s="64"/>
      <c r="M61" s="64"/>
      <c r="N61" s="64"/>
      <c r="O61" s="64"/>
      <c r="P61" s="64"/>
      <c r="Q61" s="64"/>
      <c r="R61" s="64"/>
      <c r="S61" s="64"/>
      <c r="T61" s="64"/>
      <c r="U61" s="64"/>
      <c r="V61" s="64"/>
      <c r="W61" s="64"/>
      <c r="X61" s="64"/>
      <c r="Y61" s="64"/>
      <c r="Z61" s="64"/>
      <c r="AA61" s="64"/>
      <c r="AB61" s="64"/>
    </row>
    <row r="62" spans="6:28">
      <c r="F62" s="64"/>
      <c r="G62" s="64"/>
      <c r="H62" s="64"/>
      <c r="I62" s="64"/>
      <c r="J62" s="64"/>
      <c r="K62" s="64"/>
      <c r="L62" s="64"/>
      <c r="M62" s="64"/>
      <c r="N62" s="64"/>
      <c r="O62" s="64"/>
      <c r="P62" s="64"/>
      <c r="Q62" s="64"/>
      <c r="R62" s="64"/>
      <c r="S62" s="64"/>
      <c r="T62" s="64"/>
      <c r="U62" s="64"/>
      <c r="V62" s="64"/>
      <c r="W62" s="64"/>
      <c r="X62" s="64"/>
      <c r="Y62" s="64"/>
      <c r="Z62" s="64"/>
      <c r="AA62" s="64"/>
      <c r="AB62" s="64"/>
    </row>
    <row r="63" spans="6:28">
      <c r="F63" s="64"/>
      <c r="G63" s="64"/>
      <c r="H63" s="64"/>
      <c r="I63" s="64"/>
      <c r="J63" s="64"/>
      <c r="K63" s="64"/>
      <c r="L63" s="64"/>
      <c r="M63" s="64"/>
      <c r="N63" s="64"/>
      <c r="O63" s="64"/>
      <c r="P63" s="64"/>
      <c r="Q63" s="64"/>
      <c r="R63" s="64"/>
      <c r="S63" s="64"/>
      <c r="T63" s="64"/>
      <c r="U63" s="64"/>
      <c r="V63" s="64"/>
      <c r="W63" s="64"/>
      <c r="X63" s="64"/>
      <c r="Y63" s="64"/>
      <c r="Z63" s="64"/>
      <c r="AA63" s="64"/>
      <c r="AB63" s="64"/>
    </row>
    <row r="64" spans="6:28">
      <c r="F64" s="64"/>
      <c r="G64" s="64"/>
      <c r="H64" s="64"/>
      <c r="I64" s="64"/>
      <c r="J64" s="64"/>
      <c r="K64" s="64"/>
      <c r="L64" s="64"/>
      <c r="M64" s="64"/>
      <c r="N64" s="64"/>
      <c r="O64" s="64"/>
      <c r="P64" s="64"/>
      <c r="Q64" s="64"/>
      <c r="R64" s="64"/>
      <c r="S64" s="64"/>
      <c r="T64" s="64"/>
      <c r="U64" s="64"/>
      <c r="V64" s="64"/>
      <c r="W64" s="64"/>
      <c r="X64" s="64"/>
      <c r="Y64" s="64"/>
      <c r="Z64" s="64"/>
      <c r="AA64" s="64"/>
      <c r="AB64" s="64"/>
    </row>
    <row r="65" spans="6:28">
      <c r="F65" s="64"/>
      <c r="G65" s="64"/>
      <c r="H65" s="64"/>
      <c r="I65" s="64"/>
      <c r="J65" s="64"/>
      <c r="K65" s="64"/>
      <c r="L65" s="64"/>
      <c r="M65" s="64"/>
      <c r="N65" s="64"/>
      <c r="O65" s="64"/>
      <c r="P65" s="64"/>
      <c r="Q65" s="64"/>
      <c r="R65" s="64"/>
      <c r="S65" s="64"/>
      <c r="T65" s="64"/>
      <c r="U65" s="64"/>
      <c r="V65" s="64"/>
      <c r="W65" s="64"/>
      <c r="X65" s="64"/>
      <c r="Y65" s="64"/>
      <c r="Z65" s="64"/>
      <c r="AA65" s="64"/>
      <c r="AB65" s="64"/>
    </row>
    <row r="66" spans="6:28">
      <c r="F66" s="64"/>
      <c r="G66" s="64"/>
      <c r="H66" s="64"/>
      <c r="I66" s="64"/>
      <c r="J66" s="64"/>
      <c r="K66" s="64"/>
      <c r="L66" s="64"/>
      <c r="M66" s="64"/>
      <c r="N66" s="64"/>
      <c r="O66" s="64"/>
      <c r="P66" s="64"/>
      <c r="Q66" s="64"/>
      <c r="R66" s="64"/>
      <c r="S66" s="64"/>
      <c r="T66" s="64"/>
      <c r="U66" s="64"/>
      <c r="V66" s="64"/>
      <c r="W66" s="64"/>
      <c r="X66" s="64"/>
      <c r="Y66" s="64"/>
      <c r="Z66" s="64"/>
      <c r="AA66" s="64"/>
      <c r="AB66" s="64"/>
    </row>
    <row r="67" spans="6:28">
      <c r="F67" s="64"/>
      <c r="G67" s="64"/>
      <c r="H67" s="64"/>
      <c r="I67" s="64"/>
      <c r="J67" s="64"/>
      <c r="K67" s="64"/>
      <c r="L67" s="64"/>
      <c r="M67" s="64"/>
      <c r="N67" s="64"/>
      <c r="O67" s="64"/>
      <c r="P67" s="64"/>
      <c r="Q67" s="64"/>
      <c r="R67" s="64"/>
      <c r="S67" s="64"/>
      <c r="T67" s="64"/>
      <c r="U67" s="64"/>
      <c r="V67" s="64"/>
      <c r="W67" s="64"/>
      <c r="X67" s="64"/>
      <c r="Y67" s="64"/>
      <c r="Z67" s="64"/>
      <c r="AA67" s="64"/>
      <c r="AB67" s="64"/>
    </row>
    <row r="68" spans="6:28">
      <c r="F68" s="64"/>
      <c r="G68" s="64"/>
      <c r="H68" s="64"/>
      <c r="I68" s="64"/>
      <c r="J68" s="64"/>
      <c r="K68" s="64"/>
      <c r="L68" s="64"/>
      <c r="M68" s="64"/>
      <c r="N68" s="64"/>
      <c r="O68" s="64"/>
      <c r="P68" s="64"/>
      <c r="Q68" s="64"/>
      <c r="R68" s="64"/>
      <c r="S68" s="64"/>
      <c r="T68" s="64"/>
      <c r="U68" s="64"/>
      <c r="V68" s="64"/>
      <c r="W68" s="64"/>
      <c r="X68" s="64"/>
      <c r="Y68" s="64"/>
      <c r="Z68" s="64"/>
      <c r="AA68" s="64"/>
      <c r="AB68" s="64"/>
    </row>
  </sheetData>
  <mergeCells count="7">
    <mergeCell ref="B26:AB26"/>
    <mergeCell ref="A1:A24"/>
    <mergeCell ref="B25:D25"/>
    <mergeCell ref="B1:E1"/>
    <mergeCell ref="B5:E5"/>
    <mergeCell ref="B16:AB16"/>
    <mergeCell ref="B6:AB6"/>
  </mergeCells>
  <hyperlinks>
    <hyperlink ref="B26:Y26" location="Leer!Druckbereich" display="Ab 2024 gelten für die Schularten des Sek-I-Bereichs neue Bezeichnungen bzw. Zusätze. Zudem kommt es bei den Hauptschulen, Schularten mit zwei Bildungsgängen und Schularten mit drei Bildungsgängen zu Neuzuordnungen." xr:uid="{CDED8C34-94E2-4E67-9AB3-4755E7C644D7}"/>
  </hyperlinks>
  <printOptions verticalCentered="1"/>
  <pageMargins left="0.23622047244094491" right="0.23622047244094491" top="0.74803149606299213" bottom="0.74803149606299213" header="0.31496062992125984" footer="0.31496062992125984"/>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24"/>
  <dimension ref="A1:W27"/>
  <sheetViews>
    <sheetView view="pageBreakPreview" zoomScale="140" zoomScaleNormal="120" zoomScaleSheetLayoutView="140" workbookViewId="0">
      <selection activeCell="J27" sqref="J27"/>
    </sheetView>
  </sheetViews>
  <sheetFormatPr baseColWidth="10" defaultColWidth="11.42578125" defaultRowHeight="12.75"/>
  <cols>
    <col min="1" max="1" width="2.7109375" style="3" customWidth="1"/>
    <col min="2" max="2" width="3.7109375" style="3" customWidth="1"/>
    <col min="3" max="4" width="2.7109375" style="3" customWidth="1"/>
    <col min="5" max="5" width="17.7109375" style="3" customWidth="1"/>
    <col min="6" max="22" width="6.7109375" style="3" customWidth="1"/>
    <col min="23" max="16384" width="11.42578125" style="3"/>
  </cols>
  <sheetData>
    <row r="1" spans="1:23">
      <c r="A1" s="168">
        <v>86</v>
      </c>
      <c r="B1" s="169" t="s">
        <v>0</v>
      </c>
      <c r="C1" s="169"/>
      <c r="D1" s="169"/>
      <c r="E1" s="169"/>
    </row>
    <row r="2" spans="1:23">
      <c r="A2" s="168"/>
      <c r="B2" s="4" t="s">
        <v>76</v>
      </c>
      <c r="C2" s="4"/>
      <c r="D2" s="4" t="s">
        <v>173</v>
      </c>
      <c r="E2" s="4"/>
    </row>
    <row r="3" spans="1:23">
      <c r="A3" s="168"/>
      <c r="B3" s="5" t="s">
        <v>77</v>
      </c>
      <c r="C3" s="4"/>
      <c r="D3" s="4" t="s">
        <v>186</v>
      </c>
      <c r="E3" s="4"/>
    </row>
    <row r="4" spans="1:23" ht="6" customHeight="1">
      <c r="A4" s="168"/>
    </row>
    <row r="5" spans="1:23" s="7" customFormat="1" ht="18.75" customHeight="1">
      <c r="A5" s="168"/>
      <c r="B5" s="170" t="s">
        <v>133</v>
      </c>
      <c r="C5" s="170"/>
      <c r="D5" s="170"/>
      <c r="E5" s="170"/>
      <c r="F5" s="18" t="s">
        <v>115</v>
      </c>
      <c r="G5" s="18" t="s">
        <v>35</v>
      </c>
      <c r="H5" s="18" t="s">
        <v>36</v>
      </c>
      <c r="I5" s="18" t="s">
        <v>37</v>
      </c>
      <c r="J5" s="18" t="s">
        <v>38</v>
      </c>
      <c r="K5" s="18" t="s">
        <v>39</v>
      </c>
      <c r="L5" s="18" t="s">
        <v>40</v>
      </c>
      <c r="M5" s="18" t="s">
        <v>41</v>
      </c>
      <c r="N5" s="18" t="s">
        <v>42</v>
      </c>
      <c r="O5" s="18" t="s">
        <v>43</v>
      </c>
      <c r="P5" s="18" t="s">
        <v>44</v>
      </c>
      <c r="Q5" s="18" t="s">
        <v>45</v>
      </c>
      <c r="R5" s="18" t="s">
        <v>46</v>
      </c>
      <c r="S5" s="18" t="s">
        <v>47</v>
      </c>
      <c r="T5" s="18" t="s">
        <v>48</v>
      </c>
      <c r="U5" s="18" t="s">
        <v>49</v>
      </c>
      <c r="V5" s="18" t="s">
        <v>50</v>
      </c>
    </row>
    <row r="6" spans="1:23" s="7" customFormat="1" ht="18.75" customHeight="1">
      <c r="A6" s="168"/>
      <c r="B6" s="193" t="s">
        <v>81</v>
      </c>
      <c r="C6" s="193"/>
      <c r="D6" s="193"/>
      <c r="E6" s="193"/>
      <c r="F6" s="193"/>
      <c r="G6" s="193"/>
      <c r="H6" s="193"/>
      <c r="I6" s="193"/>
      <c r="J6" s="193"/>
      <c r="K6" s="193"/>
      <c r="L6" s="193"/>
      <c r="M6" s="193"/>
      <c r="N6" s="193"/>
      <c r="O6" s="193"/>
      <c r="P6" s="193"/>
      <c r="Q6" s="193"/>
      <c r="R6" s="193"/>
      <c r="S6" s="193"/>
      <c r="T6" s="193"/>
      <c r="U6" s="193"/>
      <c r="V6" s="193"/>
    </row>
    <row r="7" spans="1:23" ht="21" customHeight="1">
      <c r="A7" s="168"/>
      <c r="B7" s="10" t="s">
        <v>119</v>
      </c>
      <c r="C7" s="10"/>
      <c r="D7" s="10"/>
      <c r="E7" s="9"/>
      <c r="F7" s="49">
        <v>109685</v>
      </c>
      <c r="G7" s="49">
        <v>125928</v>
      </c>
      <c r="H7" s="49">
        <v>33039</v>
      </c>
      <c r="I7" s="49">
        <v>25520.75</v>
      </c>
      <c r="J7" s="49">
        <v>6307</v>
      </c>
      <c r="K7" s="49">
        <v>17464</v>
      </c>
      <c r="L7" s="49">
        <v>62480</v>
      </c>
      <c r="M7" s="112">
        <v>15869</v>
      </c>
      <c r="N7" s="49">
        <v>78239</v>
      </c>
      <c r="O7" s="49">
        <v>176871</v>
      </c>
      <c r="P7" s="49">
        <v>38737</v>
      </c>
      <c r="Q7" s="49">
        <v>9333</v>
      </c>
      <c r="R7" s="49">
        <v>39351</v>
      </c>
      <c r="S7" s="49">
        <v>20163</v>
      </c>
      <c r="T7" s="49">
        <v>28113</v>
      </c>
      <c r="U7" s="49">
        <v>20389</v>
      </c>
      <c r="V7" s="49">
        <v>807488.75</v>
      </c>
    </row>
    <row r="8" spans="1:23" ht="18.75" customHeight="1">
      <c r="A8" s="168"/>
      <c r="B8" s="11" t="s">
        <v>13</v>
      </c>
      <c r="C8" s="12"/>
      <c r="D8" s="11"/>
      <c r="E8" s="11"/>
      <c r="F8" s="50">
        <v>8540</v>
      </c>
      <c r="G8" s="50">
        <v>0</v>
      </c>
      <c r="H8" s="50">
        <v>0</v>
      </c>
      <c r="I8" s="50">
        <v>0</v>
      </c>
      <c r="J8" s="50">
        <v>0</v>
      </c>
      <c r="K8" s="50">
        <v>0</v>
      </c>
      <c r="L8" s="50">
        <v>6159</v>
      </c>
      <c r="M8" s="113">
        <v>0</v>
      </c>
      <c r="N8" s="50">
        <v>3980</v>
      </c>
      <c r="O8" s="50">
        <v>9707</v>
      </c>
      <c r="P8" s="50">
        <v>35</v>
      </c>
      <c r="Q8" s="50">
        <v>0</v>
      </c>
      <c r="R8" s="50">
        <v>0</v>
      </c>
      <c r="S8" s="50">
        <v>0</v>
      </c>
      <c r="T8" s="50">
        <v>0</v>
      </c>
      <c r="U8" s="50">
        <v>0</v>
      </c>
      <c r="V8" s="50">
        <v>28421</v>
      </c>
    </row>
    <row r="9" spans="1:23" ht="18.75" customHeight="1">
      <c r="A9" s="168"/>
      <c r="B9" s="11" t="s">
        <v>188</v>
      </c>
      <c r="C9" s="12"/>
      <c r="D9" s="12"/>
      <c r="E9" s="12"/>
      <c r="F9" s="50">
        <v>0</v>
      </c>
      <c r="G9" s="50">
        <v>38309</v>
      </c>
      <c r="H9" s="50">
        <v>0</v>
      </c>
      <c r="I9" s="50">
        <v>9589</v>
      </c>
      <c r="J9" s="50">
        <v>0</v>
      </c>
      <c r="K9" s="50">
        <v>0</v>
      </c>
      <c r="L9" s="50">
        <v>1716</v>
      </c>
      <c r="M9" s="113">
        <v>7243</v>
      </c>
      <c r="N9" s="50">
        <v>19726</v>
      </c>
      <c r="O9" s="50">
        <v>0</v>
      </c>
      <c r="P9" s="50">
        <v>15304</v>
      </c>
      <c r="Q9" s="50">
        <v>8</v>
      </c>
      <c r="R9" s="50">
        <v>21629</v>
      </c>
      <c r="S9" s="50">
        <v>7971</v>
      </c>
      <c r="T9" s="50">
        <v>0</v>
      </c>
      <c r="U9" s="50">
        <v>8905</v>
      </c>
      <c r="V9" s="50">
        <v>130400</v>
      </c>
      <c r="W9" s="56"/>
    </row>
    <row r="10" spans="1:23" ht="18.75" customHeight="1">
      <c r="A10" s="168"/>
      <c r="B10" s="11" t="s">
        <v>15</v>
      </c>
      <c r="C10" s="12"/>
      <c r="D10" s="12"/>
      <c r="E10" s="12"/>
      <c r="F10" s="50">
        <v>37656</v>
      </c>
      <c r="G10" s="50">
        <v>40714</v>
      </c>
      <c r="H10" s="50">
        <v>0</v>
      </c>
      <c r="I10" s="50">
        <v>0</v>
      </c>
      <c r="J10" s="50">
        <v>0</v>
      </c>
      <c r="K10" s="50">
        <v>0</v>
      </c>
      <c r="L10" s="50">
        <v>12767</v>
      </c>
      <c r="M10" s="113">
        <v>0</v>
      </c>
      <c r="N10" s="50">
        <v>10029</v>
      </c>
      <c r="O10" s="50">
        <v>34345</v>
      </c>
      <c r="P10" s="50">
        <v>510</v>
      </c>
      <c r="Q10" s="50">
        <v>168</v>
      </c>
      <c r="R10" s="50">
        <v>0</v>
      </c>
      <c r="S10" s="50">
        <v>0</v>
      </c>
      <c r="T10" s="50">
        <v>0</v>
      </c>
      <c r="U10" s="50">
        <v>0</v>
      </c>
      <c r="V10" s="50">
        <v>136189</v>
      </c>
    </row>
    <row r="11" spans="1:23" ht="18.75" customHeight="1">
      <c r="A11" s="168"/>
      <c r="B11" s="11" t="s">
        <v>16</v>
      </c>
      <c r="C11" s="12"/>
      <c r="D11" s="11"/>
      <c r="E11" s="11"/>
      <c r="F11" s="50">
        <v>38581</v>
      </c>
      <c r="G11" s="50">
        <v>40454</v>
      </c>
      <c r="H11" s="50">
        <v>13858</v>
      </c>
      <c r="I11" s="50">
        <v>10003</v>
      </c>
      <c r="J11" s="50">
        <v>1415</v>
      </c>
      <c r="K11" s="50">
        <v>7663</v>
      </c>
      <c r="L11" s="50">
        <v>25925</v>
      </c>
      <c r="M11" s="113">
        <v>5929</v>
      </c>
      <c r="N11" s="50">
        <v>28607</v>
      </c>
      <c r="O11" s="50">
        <v>63762</v>
      </c>
      <c r="P11" s="50">
        <v>14431</v>
      </c>
      <c r="Q11" s="50">
        <v>3202</v>
      </c>
      <c r="R11" s="50">
        <v>15029</v>
      </c>
      <c r="S11" s="50">
        <v>6792</v>
      </c>
      <c r="T11" s="50">
        <v>9844</v>
      </c>
      <c r="U11" s="50">
        <v>6761</v>
      </c>
      <c r="V11" s="50">
        <v>292256</v>
      </c>
    </row>
    <row r="12" spans="1:23" ht="18.75" customHeight="1">
      <c r="A12" s="168"/>
      <c r="B12" s="11" t="s">
        <v>187</v>
      </c>
      <c r="C12" s="12"/>
      <c r="D12" s="12"/>
      <c r="E12" s="12"/>
      <c r="F12" s="50">
        <v>17732</v>
      </c>
      <c r="G12" s="50">
        <v>335</v>
      </c>
      <c r="H12" s="50">
        <v>18172</v>
      </c>
      <c r="I12" s="50">
        <v>4704</v>
      </c>
      <c r="J12" s="50">
        <v>4761</v>
      </c>
      <c r="K12" s="50">
        <v>9079</v>
      </c>
      <c r="L12" s="50">
        <v>13306</v>
      </c>
      <c r="M12" s="113">
        <v>1447</v>
      </c>
      <c r="N12" s="50">
        <v>12578</v>
      </c>
      <c r="O12" s="50">
        <v>59106</v>
      </c>
      <c r="P12" s="50">
        <v>6347</v>
      </c>
      <c r="Q12" s="50">
        <v>5349</v>
      </c>
      <c r="R12" s="50">
        <v>228</v>
      </c>
      <c r="S12" s="50">
        <v>3810</v>
      </c>
      <c r="T12" s="50">
        <v>17206</v>
      </c>
      <c r="U12" s="50">
        <v>4022</v>
      </c>
      <c r="V12" s="50">
        <v>178182</v>
      </c>
    </row>
    <row r="13" spans="1:23" ht="18.75" customHeight="1">
      <c r="A13" s="168"/>
      <c r="B13" s="11" t="s">
        <v>11</v>
      </c>
      <c r="C13" s="12"/>
      <c r="D13" s="12"/>
      <c r="E13" s="12"/>
      <c r="F13" s="50">
        <v>1722</v>
      </c>
      <c r="G13" s="50">
        <v>774</v>
      </c>
      <c r="H13" s="50">
        <v>395</v>
      </c>
      <c r="I13" s="50">
        <v>129</v>
      </c>
      <c r="J13" s="50">
        <v>89</v>
      </c>
      <c r="K13" s="50">
        <v>259</v>
      </c>
      <c r="L13" s="50">
        <v>419</v>
      </c>
      <c r="M13" s="113">
        <v>103</v>
      </c>
      <c r="N13" s="50">
        <v>571</v>
      </c>
      <c r="O13" s="50">
        <v>1398</v>
      </c>
      <c r="P13" s="50">
        <v>218</v>
      </c>
      <c r="Q13" s="50">
        <v>99</v>
      </c>
      <c r="R13" s="50">
        <v>269</v>
      </c>
      <c r="S13" s="50">
        <v>138</v>
      </c>
      <c r="T13" s="50">
        <v>377</v>
      </c>
      <c r="U13" s="50">
        <v>120</v>
      </c>
      <c r="V13" s="50">
        <v>7080</v>
      </c>
    </row>
    <row r="14" spans="1:23" ht="18.75" customHeight="1">
      <c r="A14" s="168"/>
      <c r="B14" s="10" t="s">
        <v>79</v>
      </c>
      <c r="C14" s="13"/>
      <c r="D14" s="10"/>
      <c r="E14" s="10"/>
      <c r="F14" s="51">
        <v>5454</v>
      </c>
      <c r="G14" s="51">
        <v>5342</v>
      </c>
      <c r="H14" s="51">
        <v>614</v>
      </c>
      <c r="I14" s="51">
        <v>1095.75</v>
      </c>
      <c r="J14" s="51">
        <v>42</v>
      </c>
      <c r="K14" s="51">
        <v>463</v>
      </c>
      <c r="L14" s="51">
        <v>2188</v>
      </c>
      <c r="M14" s="114">
        <v>1147</v>
      </c>
      <c r="N14" s="51">
        <v>2748</v>
      </c>
      <c r="O14" s="51">
        <v>8553</v>
      </c>
      <c r="P14" s="51">
        <v>1892</v>
      </c>
      <c r="Q14" s="51">
        <v>507</v>
      </c>
      <c r="R14" s="51">
        <v>2196</v>
      </c>
      <c r="S14" s="51">
        <v>1452</v>
      </c>
      <c r="T14" s="51">
        <v>686</v>
      </c>
      <c r="U14" s="51">
        <v>581</v>
      </c>
      <c r="V14" s="51">
        <v>34960.75</v>
      </c>
    </row>
    <row r="15" spans="1:23">
      <c r="A15" s="168"/>
      <c r="B15" s="12"/>
      <c r="C15" s="12"/>
      <c r="D15" s="12"/>
      <c r="E15" s="12"/>
      <c r="F15" s="33"/>
      <c r="G15" s="33"/>
      <c r="H15" s="33"/>
      <c r="I15" s="33"/>
      <c r="J15" s="33"/>
      <c r="K15" s="33"/>
      <c r="L15" s="33"/>
      <c r="M15" s="33"/>
      <c r="N15" s="33"/>
      <c r="O15" s="33"/>
      <c r="P15" s="33"/>
      <c r="Q15" s="33"/>
      <c r="R15" s="33"/>
      <c r="S15" s="33"/>
      <c r="T15" s="33"/>
      <c r="U15" s="33"/>
      <c r="V15" s="33"/>
    </row>
    <row r="16" spans="1:23" ht="18.75" customHeight="1">
      <c r="A16" s="168"/>
      <c r="B16" s="191" t="s">
        <v>82</v>
      </c>
      <c r="C16" s="191"/>
      <c r="D16" s="191"/>
      <c r="E16" s="191"/>
      <c r="F16" s="191"/>
      <c r="G16" s="191"/>
      <c r="H16" s="191"/>
      <c r="I16" s="191"/>
      <c r="J16" s="191"/>
      <c r="K16" s="191"/>
      <c r="L16" s="191"/>
      <c r="M16" s="191"/>
      <c r="N16" s="191"/>
      <c r="O16" s="191"/>
      <c r="P16" s="191"/>
      <c r="Q16" s="191"/>
      <c r="R16" s="191"/>
      <c r="S16" s="191"/>
      <c r="T16" s="191"/>
      <c r="U16" s="191"/>
      <c r="V16" s="191"/>
    </row>
    <row r="17" spans="1:22" ht="21" customHeight="1">
      <c r="A17" s="168"/>
      <c r="B17" s="9" t="s">
        <v>119</v>
      </c>
      <c r="C17" s="9"/>
      <c r="D17" s="9"/>
      <c r="E17" s="9"/>
      <c r="F17" s="52">
        <v>100</v>
      </c>
      <c r="G17" s="52">
        <v>100</v>
      </c>
      <c r="H17" s="52">
        <v>100</v>
      </c>
      <c r="I17" s="52">
        <v>100</v>
      </c>
      <c r="J17" s="52">
        <v>100</v>
      </c>
      <c r="K17" s="52">
        <v>100</v>
      </c>
      <c r="L17" s="52">
        <v>100</v>
      </c>
      <c r="M17" s="52">
        <v>100</v>
      </c>
      <c r="N17" s="52">
        <v>100</v>
      </c>
      <c r="O17" s="52">
        <v>100</v>
      </c>
      <c r="P17" s="52">
        <v>100</v>
      </c>
      <c r="Q17" s="52">
        <v>100</v>
      </c>
      <c r="R17" s="52">
        <v>100</v>
      </c>
      <c r="S17" s="52">
        <v>100</v>
      </c>
      <c r="T17" s="52">
        <v>100</v>
      </c>
      <c r="U17" s="52">
        <v>100</v>
      </c>
      <c r="V17" s="52">
        <v>100</v>
      </c>
    </row>
    <row r="18" spans="1:22" ht="18.75" customHeight="1">
      <c r="A18" s="168"/>
      <c r="B18" s="11" t="s">
        <v>13</v>
      </c>
      <c r="C18" s="12"/>
      <c r="D18" s="12"/>
      <c r="E18" s="12"/>
      <c r="F18" s="53">
        <v>7.7859324429046817</v>
      </c>
      <c r="G18" s="53">
        <v>0</v>
      </c>
      <c r="H18" s="53">
        <v>0</v>
      </c>
      <c r="I18" s="53">
        <v>0</v>
      </c>
      <c r="J18" s="53">
        <v>0</v>
      </c>
      <c r="K18" s="53">
        <v>0</v>
      </c>
      <c r="L18" s="53">
        <v>9.8575544174135725</v>
      </c>
      <c r="M18" s="53">
        <v>0</v>
      </c>
      <c r="N18" s="53">
        <v>5.0869770830404271</v>
      </c>
      <c r="O18" s="53">
        <v>5.4881806514352265</v>
      </c>
      <c r="P18" s="53">
        <v>9.0352892583318273E-2</v>
      </c>
      <c r="Q18" s="53">
        <v>0</v>
      </c>
      <c r="R18" s="53">
        <v>0</v>
      </c>
      <c r="S18" s="53">
        <v>0</v>
      </c>
      <c r="T18" s="53">
        <v>0</v>
      </c>
      <c r="U18" s="53">
        <v>0</v>
      </c>
      <c r="V18" s="53">
        <v>3.519677518727041</v>
      </c>
    </row>
    <row r="19" spans="1:22" ht="18.75" customHeight="1">
      <c r="A19" s="168"/>
      <c r="B19" s="11" t="s">
        <v>188</v>
      </c>
      <c r="C19" s="12"/>
      <c r="D19" s="12"/>
      <c r="E19" s="12"/>
      <c r="F19" s="53">
        <v>0</v>
      </c>
      <c r="G19" s="53">
        <v>30.421351883616033</v>
      </c>
      <c r="H19" s="53">
        <v>0</v>
      </c>
      <c r="I19" s="53">
        <v>37.573347178276499</v>
      </c>
      <c r="J19" s="53">
        <v>0</v>
      </c>
      <c r="K19" s="53">
        <v>0</v>
      </c>
      <c r="L19" s="53">
        <v>2.7464788732394365</v>
      </c>
      <c r="M19" s="53">
        <v>45.642447539227426</v>
      </c>
      <c r="N19" s="53">
        <v>25.212489934687305</v>
      </c>
      <c r="O19" s="53">
        <v>0</v>
      </c>
      <c r="P19" s="53">
        <v>39.507447659860084</v>
      </c>
      <c r="Q19" s="53">
        <v>8.5717347048108863E-2</v>
      </c>
      <c r="R19" s="53">
        <v>54.9642956976951</v>
      </c>
      <c r="S19" s="53">
        <v>39.532807617914003</v>
      </c>
      <c r="T19" s="53">
        <v>0</v>
      </c>
      <c r="U19" s="53">
        <v>43.675511305115506</v>
      </c>
      <c r="V19" s="53">
        <v>16.148831794870208</v>
      </c>
    </row>
    <row r="20" spans="1:22" ht="18.75" customHeight="1">
      <c r="A20" s="168"/>
      <c r="B20" s="11" t="s">
        <v>15</v>
      </c>
      <c r="C20" s="12"/>
      <c r="D20" s="12"/>
      <c r="E20" s="12"/>
      <c r="F20" s="53">
        <v>34.331038884077131</v>
      </c>
      <c r="G20" s="53">
        <v>32.331173368909219</v>
      </c>
      <c r="H20" s="53">
        <v>0</v>
      </c>
      <c r="I20" s="53">
        <v>0</v>
      </c>
      <c r="J20" s="53">
        <v>0</v>
      </c>
      <c r="K20" s="53">
        <v>0</v>
      </c>
      <c r="L20" s="53">
        <v>20.433738796414854</v>
      </c>
      <c r="M20" s="53">
        <v>0</v>
      </c>
      <c r="N20" s="53">
        <v>12.818415368294584</v>
      </c>
      <c r="O20" s="53">
        <v>19.41810698192468</v>
      </c>
      <c r="P20" s="53">
        <v>1.3165707204997805</v>
      </c>
      <c r="Q20" s="53">
        <v>1.8000642880102862</v>
      </c>
      <c r="R20" s="53">
        <v>0</v>
      </c>
      <c r="S20" s="53">
        <v>0</v>
      </c>
      <c r="T20" s="53">
        <v>0</v>
      </c>
      <c r="U20" s="53">
        <v>0</v>
      </c>
      <c r="V20" s="53">
        <v>16.865745807604132</v>
      </c>
    </row>
    <row r="21" spans="1:22" ht="18.75" customHeight="1">
      <c r="A21" s="168"/>
      <c r="B21" s="11" t="s">
        <v>16</v>
      </c>
      <c r="C21" s="12"/>
      <c r="D21" s="12"/>
      <c r="E21" s="12"/>
      <c r="F21" s="53">
        <v>35.174362948443267</v>
      </c>
      <c r="G21" s="53">
        <v>32.124706181309953</v>
      </c>
      <c r="H21" s="53">
        <v>41.944368776294681</v>
      </c>
      <c r="I21" s="53">
        <v>39.195556556919371</v>
      </c>
      <c r="J21" s="53">
        <v>22.435389250039638</v>
      </c>
      <c r="K21" s="53">
        <v>43.878836463582225</v>
      </c>
      <c r="L21" s="53">
        <v>41.493277848911653</v>
      </c>
      <c r="M21" s="53">
        <v>37.362152624614026</v>
      </c>
      <c r="N21" s="53">
        <v>36.563606385562188</v>
      </c>
      <c r="O21" s="53">
        <v>36.050002544227148</v>
      </c>
      <c r="P21" s="53">
        <v>37.253788367710456</v>
      </c>
      <c r="Q21" s="53">
        <v>34.308368156005571</v>
      </c>
      <c r="R21" s="53">
        <v>38.192167924576246</v>
      </c>
      <c r="S21" s="53">
        <v>33.685463472697514</v>
      </c>
      <c r="T21" s="53">
        <v>35.015828975918616</v>
      </c>
      <c r="U21" s="53">
        <v>33.160037275001223</v>
      </c>
      <c r="V21" s="53">
        <v>36.19319773804898</v>
      </c>
    </row>
    <row r="22" spans="1:22" ht="18.75" customHeight="1">
      <c r="A22" s="168"/>
      <c r="B22" s="11" t="s">
        <v>187</v>
      </c>
      <c r="C22" s="12"/>
      <c r="D22" s="12"/>
      <c r="E22" s="12"/>
      <c r="F22" s="53">
        <v>16.166294388476089</v>
      </c>
      <c r="G22" s="53">
        <v>0.26602503017597356</v>
      </c>
      <c r="H22" s="53">
        <v>55.001664699294771</v>
      </c>
      <c r="I22" s="53">
        <v>18.432060186318974</v>
      </c>
      <c r="J22" s="53">
        <v>75.48755351197083</v>
      </c>
      <c r="K22" s="53">
        <v>51.986944571690337</v>
      </c>
      <c r="L22" s="53">
        <v>21.296414852752882</v>
      </c>
      <c r="M22" s="53">
        <v>9.1184069569601114</v>
      </c>
      <c r="N22" s="53">
        <v>16.076381344342337</v>
      </c>
      <c r="O22" s="53">
        <v>33.417575521142524</v>
      </c>
      <c r="P22" s="53">
        <v>16.384851692180604</v>
      </c>
      <c r="Q22" s="53">
        <v>57.312761170041789</v>
      </c>
      <c r="R22" s="53">
        <v>0.57940077761683306</v>
      </c>
      <c r="S22" s="53">
        <v>18.895997619401875</v>
      </c>
      <c r="T22" s="53">
        <v>61.203002169814674</v>
      </c>
      <c r="U22" s="53">
        <v>19.726323017313256</v>
      </c>
      <c r="V22" s="53">
        <v>22.066189776637756</v>
      </c>
    </row>
    <row r="23" spans="1:22" ht="18.75" customHeight="1">
      <c r="A23" s="168"/>
      <c r="B23" s="11" t="s">
        <v>11</v>
      </c>
      <c r="C23" s="12"/>
      <c r="D23" s="12"/>
      <c r="E23" s="12"/>
      <c r="F23" s="53">
        <v>1.5699503122578293</v>
      </c>
      <c r="G23" s="53">
        <v>0.61463693539165243</v>
      </c>
      <c r="H23" s="53">
        <v>1.1955567662459519</v>
      </c>
      <c r="I23" s="53">
        <v>0.50547103827277806</v>
      </c>
      <c r="J23" s="53">
        <v>1.4111304899318218</v>
      </c>
      <c r="K23" s="53">
        <v>1.4830508474576272</v>
      </c>
      <c r="L23" s="53">
        <v>0.6706145966709347</v>
      </c>
      <c r="M23" s="53">
        <v>0.6490642132459512</v>
      </c>
      <c r="N23" s="53">
        <v>0.72981505387338796</v>
      </c>
      <c r="O23" s="53">
        <v>0.79040656749834626</v>
      </c>
      <c r="P23" s="53">
        <v>0.56276944523323957</v>
      </c>
      <c r="Q23" s="53">
        <v>1.0607521697203472</v>
      </c>
      <c r="R23" s="53">
        <v>0.68359126832863204</v>
      </c>
      <c r="S23" s="53">
        <v>0.68442196101770569</v>
      </c>
      <c r="T23" s="53">
        <v>1.3410166115320314</v>
      </c>
      <c r="U23" s="53">
        <v>0.58855265093923192</v>
      </c>
      <c r="V23" s="53">
        <v>0.87679240113252355</v>
      </c>
    </row>
    <row r="24" spans="1:22" ht="18.75" customHeight="1">
      <c r="A24" s="168"/>
      <c r="B24" s="10" t="s">
        <v>79</v>
      </c>
      <c r="C24" s="13"/>
      <c r="D24" s="13"/>
      <c r="E24" s="13"/>
      <c r="F24" s="54">
        <v>4.9724210238409992</v>
      </c>
      <c r="G24" s="54"/>
      <c r="H24" s="54">
        <v>1.8584097581645933</v>
      </c>
      <c r="I24" s="54">
        <v>4.2935650402123766</v>
      </c>
      <c r="J24" s="54">
        <v>0.66592674805771368</v>
      </c>
      <c r="K24" s="54">
        <v>2.6511681172698123</v>
      </c>
      <c r="L24" s="54">
        <v>3.501920614596671</v>
      </c>
      <c r="M24" s="54">
        <v>7.2279286659524864</v>
      </c>
      <c r="N24" s="54">
        <v>3.5123148301997724</v>
      </c>
      <c r="O24" s="54">
        <v>4.835727733772071</v>
      </c>
      <c r="P24" s="54">
        <v>4.8842192219325193</v>
      </c>
      <c r="Q24" s="54">
        <v>5.4323368691738994</v>
      </c>
      <c r="R24" s="54">
        <v>5.580544331783182</v>
      </c>
      <c r="S24" s="54">
        <v>7.2013093289689039</v>
      </c>
      <c r="T24" s="54">
        <v>2.440152242734678</v>
      </c>
      <c r="U24" s="54">
        <v>2.8495757516307814</v>
      </c>
      <c r="V24" s="54">
        <v>4.3295649629793607</v>
      </c>
    </row>
    <row r="25" spans="1:22" ht="23.25" customHeight="1">
      <c r="B25" s="180" t="s">
        <v>33</v>
      </c>
      <c r="C25" s="180"/>
      <c r="D25" s="180"/>
      <c r="E25" s="194" t="s">
        <v>174</v>
      </c>
      <c r="F25" s="194"/>
      <c r="G25" s="194"/>
      <c r="H25" s="194"/>
      <c r="I25" s="194"/>
      <c r="J25" s="194"/>
      <c r="K25" s="194"/>
      <c r="L25" s="194"/>
      <c r="M25" s="194"/>
      <c r="N25" s="194"/>
      <c r="O25" s="194"/>
      <c r="P25" s="194"/>
      <c r="Q25" s="194"/>
      <c r="R25" s="194"/>
      <c r="S25" s="194"/>
      <c r="T25" s="194"/>
      <c r="U25" s="194"/>
      <c r="V25" s="194"/>
    </row>
    <row r="26" spans="1:22">
      <c r="E26" s="167" t="s">
        <v>200</v>
      </c>
      <c r="F26" s="167"/>
      <c r="G26" s="167"/>
      <c r="H26" s="167"/>
      <c r="I26" s="167"/>
      <c r="J26" s="167"/>
      <c r="K26" s="167"/>
      <c r="L26" s="167"/>
      <c r="M26" s="167"/>
      <c r="N26" s="167"/>
      <c r="O26" s="167"/>
      <c r="P26" s="167"/>
      <c r="Q26" s="167"/>
      <c r="R26" s="167"/>
      <c r="S26" s="167"/>
      <c r="T26" s="167"/>
      <c r="U26" s="167"/>
      <c r="V26" s="167"/>
    </row>
    <row r="27" spans="1:22">
      <c r="F27" s="55"/>
      <c r="G27" s="55"/>
      <c r="H27" s="55"/>
      <c r="I27" s="55"/>
      <c r="J27" s="55"/>
      <c r="K27" s="55"/>
      <c r="L27" s="55"/>
      <c r="M27" s="55"/>
      <c r="N27" s="55"/>
      <c r="O27" s="55"/>
      <c r="P27" s="55"/>
      <c r="Q27" s="55"/>
      <c r="R27" s="55"/>
      <c r="S27" s="55"/>
      <c r="T27" s="55"/>
      <c r="U27" s="55"/>
      <c r="V27" s="55"/>
    </row>
  </sheetData>
  <mergeCells count="8">
    <mergeCell ref="E26:V26"/>
    <mergeCell ref="B25:D25"/>
    <mergeCell ref="A1:A24"/>
    <mergeCell ref="B6:V6"/>
    <mergeCell ref="B16:V16"/>
    <mergeCell ref="B1:E1"/>
    <mergeCell ref="B5:E5"/>
    <mergeCell ref="E25:V25"/>
  </mergeCells>
  <hyperlinks>
    <hyperlink ref="E26:V26" location="Leer!Druckbereich" display="Ab 2024 gelten für die Schularten des Sek-I-Bereichs neue Bezeichnungen bzw. Zusätze. Zudem kommt es bei den Hauptschulen, Schularten mit zwei Bildungsgängen und Schularten mit drei Bildungsgängen zu Neuzuordnungen." xr:uid="{F65419EF-BAE2-4970-A5A6-FDC73C9E1F1F}"/>
  </hyperlinks>
  <printOptions verticalCentered="1"/>
  <pageMargins left="0.23622047244094491" right="0.23622047244094491" top="0.74803149606299213" bottom="0.74803149606299213" header="0.31496062992125984" footer="0.31496062992125984"/>
  <pageSetup paperSize="9"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25"/>
  <dimension ref="A1:AO53"/>
  <sheetViews>
    <sheetView view="pageBreakPreview" zoomScale="140" zoomScaleNormal="100" zoomScaleSheetLayoutView="140" workbookViewId="0">
      <selection activeCell="J27" sqref="J27"/>
    </sheetView>
  </sheetViews>
  <sheetFormatPr baseColWidth="10" defaultColWidth="11.42578125" defaultRowHeight="12.75"/>
  <cols>
    <col min="1" max="1" width="3" style="3" customWidth="1"/>
    <col min="2" max="2" width="7.7109375" style="3" customWidth="1"/>
    <col min="3" max="4" width="2.7109375" style="3" customWidth="1"/>
    <col min="5" max="5" width="17.7109375" style="3" customWidth="1"/>
    <col min="6" max="18" width="9.7109375" style="3" hidden="1" customWidth="1"/>
    <col min="19" max="28" width="9.7109375" style="3" customWidth="1"/>
    <col min="29" max="16384" width="11.42578125" style="3"/>
  </cols>
  <sheetData>
    <row r="1" spans="1:32">
      <c r="A1" s="168">
        <v>87</v>
      </c>
      <c r="B1" s="169" t="s">
        <v>0</v>
      </c>
      <c r="C1" s="169"/>
      <c r="D1" s="169"/>
      <c r="E1" s="169"/>
    </row>
    <row r="2" spans="1:32">
      <c r="A2" s="168"/>
      <c r="B2" s="4" t="s">
        <v>88</v>
      </c>
      <c r="C2" s="4"/>
      <c r="D2" s="4" t="s">
        <v>164</v>
      </c>
      <c r="E2" s="4"/>
    </row>
    <row r="3" spans="1:32">
      <c r="A3" s="168"/>
      <c r="B3" s="5" t="s">
        <v>113</v>
      </c>
      <c r="C3" s="4"/>
      <c r="D3" s="4" t="s">
        <v>185</v>
      </c>
      <c r="E3" s="4"/>
    </row>
    <row r="4" spans="1:32" ht="3.75" customHeight="1">
      <c r="A4" s="168"/>
    </row>
    <row r="5" spans="1:32" s="7" customFormat="1">
      <c r="A5" s="168"/>
      <c r="B5" s="170" t="s">
        <v>133</v>
      </c>
      <c r="C5" s="170"/>
      <c r="D5" s="170"/>
      <c r="E5" s="170"/>
      <c r="F5" s="18">
        <v>2002</v>
      </c>
      <c r="G5" s="18">
        <v>2003</v>
      </c>
      <c r="H5" s="18">
        <v>2004</v>
      </c>
      <c r="I5" s="18">
        <v>2005</v>
      </c>
      <c r="J5" s="18">
        <v>2006</v>
      </c>
      <c r="K5" s="18">
        <v>2007</v>
      </c>
      <c r="L5" s="18">
        <v>2008</v>
      </c>
      <c r="M5" s="18">
        <v>2009</v>
      </c>
      <c r="N5" s="18">
        <v>2010</v>
      </c>
      <c r="O5" s="18">
        <v>2011</v>
      </c>
      <c r="P5" s="18">
        <v>2012</v>
      </c>
      <c r="Q5" s="18">
        <v>2013</v>
      </c>
      <c r="R5" s="18">
        <v>2014</v>
      </c>
      <c r="S5" s="18">
        <v>2015</v>
      </c>
      <c r="T5" s="18">
        <v>2016</v>
      </c>
      <c r="U5" s="18">
        <v>2017</v>
      </c>
      <c r="V5" s="18">
        <v>2018</v>
      </c>
      <c r="W5" s="18">
        <v>2019</v>
      </c>
      <c r="X5" s="18">
        <v>2020</v>
      </c>
      <c r="Y5" s="18">
        <v>2021</v>
      </c>
      <c r="Z5" s="18">
        <v>2022</v>
      </c>
      <c r="AA5" s="18">
        <v>2023</v>
      </c>
      <c r="AB5" s="18">
        <v>2024</v>
      </c>
    </row>
    <row r="6" spans="1:32" ht="19.5" customHeight="1">
      <c r="A6" s="168"/>
      <c r="B6" s="196" t="s">
        <v>168</v>
      </c>
      <c r="C6" s="196"/>
      <c r="D6" s="196"/>
      <c r="E6" s="196"/>
      <c r="F6" s="196"/>
      <c r="G6" s="196"/>
      <c r="H6" s="196"/>
      <c r="I6" s="196"/>
      <c r="J6" s="196"/>
      <c r="K6" s="196"/>
      <c r="L6" s="196"/>
      <c r="M6" s="196"/>
      <c r="N6" s="196"/>
      <c r="O6" s="196"/>
      <c r="P6" s="196"/>
      <c r="Q6" s="196"/>
      <c r="R6" s="196"/>
      <c r="S6" s="196"/>
      <c r="T6" s="196"/>
      <c r="U6" s="196"/>
      <c r="V6" s="196"/>
      <c r="W6" s="196"/>
      <c r="X6" s="196"/>
      <c r="Y6" s="196"/>
      <c r="Z6" s="196"/>
      <c r="AA6" s="196"/>
      <c r="AB6" s="196"/>
    </row>
    <row r="7" spans="1:32" ht="13.5">
      <c r="A7" s="168"/>
      <c r="B7" s="84" t="s">
        <v>83</v>
      </c>
      <c r="C7" s="84"/>
      <c r="D7" s="84"/>
      <c r="E7" s="84"/>
      <c r="F7" s="58">
        <v>935685</v>
      </c>
      <c r="G7" s="58">
        <v>949985</v>
      </c>
      <c r="H7" s="58">
        <v>965435</v>
      </c>
      <c r="I7" s="58">
        <v>963095</v>
      </c>
      <c r="J7" s="58">
        <v>966943</v>
      </c>
      <c r="K7" s="58">
        <v>964775</v>
      </c>
      <c r="L7" s="58">
        <v>921056</v>
      </c>
      <c r="M7" s="58">
        <v>885437</v>
      </c>
      <c r="N7" s="58">
        <v>857171</v>
      </c>
      <c r="O7" s="58">
        <v>875254</v>
      </c>
      <c r="P7" s="58">
        <v>861346</v>
      </c>
      <c r="Q7" s="58">
        <v>888769</v>
      </c>
      <c r="R7" s="58">
        <v>843763</v>
      </c>
      <c r="S7" s="58">
        <v>839802</v>
      </c>
      <c r="T7" s="58">
        <v>848349</v>
      </c>
      <c r="U7" s="58">
        <v>824679</v>
      </c>
      <c r="V7" s="58">
        <v>804239</v>
      </c>
      <c r="W7" s="58">
        <v>794824</v>
      </c>
      <c r="X7" s="58">
        <v>744004</v>
      </c>
      <c r="Y7" s="58">
        <v>762159</v>
      </c>
      <c r="Z7" s="58">
        <v>763747</v>
      </c>
      <c r="AA7" s="58">
        <v>775813</v>
      </c>
      <c r="AB7" s="58">
        <v>791663</v>
      </c>
      <c r="AC7" s="150"/>
      <c r="AD7" s="150"/>
      <c r="AE7" s="150"/>
      <c r="AF7" s="150"/>
    </row>
    <row r="8" spans="1:32" ht="39" customHeight="1">
      <c r="A8" s="168"/>
      <c r="B8" s="195" t="s">
        <v>208</v>
      </c>
      <c r="C8" s="195"/>
      <c r="D8" s="195"/>
      <c r="E8" s="195"/>
      <c r="F8" s="90">
        <v>85323</v>
      </c>
      <c r="G8" s="90">
        <v>83804</v>
      </c>
      <c r="H8" s="90">
        <v>82621</v>
      </c>
      <c r="I8" s="90">
        <v>78530</v>
      </c>
      <c r="J8" s="90">
        <v>76249</v>
      </c>
      <c r="K8" s="90">
        <v>70482</v>
      </c>
      <c r="L8" s="90">
        <v>64880</v>
      </c>
      <c r="M8" s="90">
        <v>58308</v>
      </c>
      <c r="N8" s="90">
        <v>53041</v>
      </c>
      <c r="O8" s="90">
        <v>49472</v>
      </c>
      <c r="P8" s="90">
        <v>47584</v>
      </c>
      <c r="Q8" s="90">
        <v>46295</v>
      </c>
      <c r="R8" s="90">
        <v>46921</v>
      </c>
      <c r="S8" s="90">
        <v>47439</v>
      </c>
      <c r="T8" s="90">
        <v>49156</v>
      </c>
      <c r="U8" s="90">
        <v>52682</v>
      </c>
      <c r="V8" s="90">
        <v>53603</v>
      </c>
      <c r="W8" s="90">
        <v>52834</v>
      </c>
      <c r="X8" s="90">
        <v>45070</v>
      </c>
      <c r="Y8" s="90">
        <v>47191</v>
      </c>
      <c r="Z8" s="90">
        <v>52259</v>
      </c>
      <c r="AA8" s="90">
        <v>55711</v>
      </c>
      <c r="AB8" s="90">
        <v>62035</v>
      </c>
      <c r="AC8" s="150"/>
      <c r="AD8" s="150"/>
      <c r="AE8" s="150"/>
      <c r="AF8" s="150"/>
    </row>
    <row r="9" spans="1:32" ht="38.25" customHeight="1">
      <c r="A9" s="168"/>
      <c r="B9" s="84"/>
      <c r="C9" s="198" t="s">
        <v>84</v>
      </c>
      <c r="D9" s="198"/>
      <c r="E9" s="198"/>
      <c r="F9" s="91">
        <v>28992</v>
      </c>
      <c r="G9" s="91">
        <v>35013</v>
      </c>
      <c r="H9" s="91">
        <v>35550</v>
      </c>
      <c r="I9" s="91">
        <v>34702</v>
      </c>
      <c r="J9" s="91">
        <v>35166</v>
      </c>
      <c r="K9" s="91">
        <v>33566</v>
      </c>
      <c r="L9" s="91">
        <v>31812</v>
      </c>
      <c r="M9" s="91">
        <v>29082</v>
      </c>
      <c r="N9" s="91">
        <v>26574</v>
      </c>
      <c r="O9" s="91">
        <v>25284</v>
      </c>
      <c r="P9" s="91">
        <v>23878</v>
      </c>
      <c r="Q9" s="91">
        <v>22985</v>
      </c>
      <c r="R9" s="91">
        <v>21260</v>
      </c>
      <c r="S9" s="91">
        <v>22138</v>
      </c>
      <c r="T9" s="91">
        <v>20943</v>
      </c>
      <c r="U9" s="91">
        <v>20071</v>
      </c>
      <c r="V9" s="91">
        <v>19915</v>
      </c>
      <c r="W9" s="91">
        <v>18409</v>
      </c>
      <c r="X9" s="91">
        <v>18132</v>
      </c>
      <c r="Y9" s="91">
        <v>18012</v>
      </c>
      <c r="Z9" s="91">
        <v>18625</v>
      </c>
      <c r="AA9" s="91">
        <v>18685</v>
      </c>
      <c r="AB9" s="91">
        <v>18880</v>
      </c>
      <c r="AC9" s="111"/>
      <c r="AD9" s="159"/>
      <c r="AE9" s="159"/>
      <c r="AF9" s="159"/>
    </row>
    <row r="10" spans="1:32" ht="26.25" customHeight="1">
      <c r="A10" s="168"/>
      <c r="B10" s="83"/>
      <c r="C10" s="198" t="s">
        <v>85</v>
      </c>
      <c r="D10" s="198"/>
      <c r="E10" s="198"/>
      <c r="F10" s="91">
        <v>8848</v>
      </c>
      <c r="G10" s="91">
        <v>3476</v>
      </c>
      <c r="H10" s="91">
        <v>3983</v>
      </c>
      <c r="I10" s="91">
        <v>3918</v>
      </c>
      <c r="J10" s="91">
        <v>4096</v>
      </c>
      <c r="K10" s="91">
        <v>4561</v>
      </c>
      <c r="L10" s="91">
        <v>3600</v>
      </c>
      <c r="M10" s="91">
        <v>4309</v>
      </c>
      <c r="N10" s="91">
        <v>3732</v>
      </c>
      <c r="O10" s="91">
        <v>3347</v>
      </c>
      <c r="P10" s="91">
        <v>3014</v>
      </c>
      <c r="Q10" s="91">
        <v>3231</v>
      </c>
      <c r="R10" s="91">
        <v>4277</v>
      </c>
      <c r="S10" s="91">
        <v>4004</v>
      </c>
      <c r="T10" s="91">
        <v>4091</v>
      </c>
      <c r="U10" s="91">
        <v>3939</v>
      </c>
      <c r="V10" s="91">
        <v>3850</v>
      </c>
      <c r="W10" s="91">
        <v>4572</v>
      </c>
      <c r="X10" s="91">
        <v>4060</v>
      </c>
      <c r="Y10" s="91">
        <v>4335</v>
      </c>
      <c r="Z10" s="91">
        <v>4698</v>
      </c>
      <c r="AA10" s="91">
        <v>4637</v>
      </c>
      <c r="AB10" s="91">
        <v>5103</v>
      </c>
      <c r="AC10" s="56"/>
    </row>
    <row r="11" spans="1:32" ht="39.75" customHeight="1">
      <c r="A11" s="168"/>
      <c r="B11" s="195" t="s">
        <v>209</v>
      </c>
      <c r="C11" s="195"/>
      <c r="D11" s="195"/>
      <c r="E11" s="195"/>
      <c r="F11" s="90">
        <v>238783</v>
      </c>
      <c r="G11" s="90">
        <v>245627</v>
      </c>
      <c r="H11" s="90">
        <v>245932</v>
      </c>
      <c r="I11" s="90">
        <v>241722</v>
      </c>
      <c r="J11" s="90">
        <v>237495</v>
      </c>
      <c r="K11" s="90">
        <v>228878</v>
      </c>
      <c r="L11" s="90">
        <v>204241</v>
      </c>
      <c r="M11" s="90">
        <v>186126</v>
      </c>
      <c r="N11" s="90">
        <v>173848</v>
      </c>
      <c r="O11" s="90">
        <v>163284</v>
      </c>
      <c r="P11" s="90">
        <v>152835</v>
      </c>
      <c r="Q11" s="90">
        <v>146859</v>
      </c>
      <c r="R11" s="90">
        <v>142169</v>
      </c>
      <c r="S11" s="90">
        <v>135663</v>
      </c>
      <c r="T11" s="90">
        <v>135381</v>
      </c>
      <c r="U11" s="90">
        <v>130303</v>
      </c>
      <c r="V11" s="90">
        <v>128568</v>
      </c>
      <c r="W11" s="90">
        <v>128663</v>
      </c>
      <c r="X11" s="90">
        <v>120248</v>
      </c>
      <c r="Y11" s="90">
        <v>119369</v>
      </c>
      <c r="Z11" s="90">
        <v>121997</v>
      </c>
      <c r="AA11" s="90">
        <v>126642</v>
      </c>
      <c r="AB11" s="90">
        <v>129289</v>
      </c>
      <c r="AC11" s="150"/>
      <c r="AD11" s="150"/>
      <c r="AE11" s="150"/>
      <c r="AF11" s="150"/>
    </row>
    <row r="12" spans="1:32" ht="25.5" customHeight="1">
      <c r="A12" s="168"/>
      <c r="B12" s="195" t="s">
        <v>210</v>
      </c>
      <c r="C12" s="195"/>
      <c r="D12" s="195"/>
      <c r="E12" s="195"/>
      <c r="F12" s="90">
        <v>376392</v>
      </c>
      <c r="G12" s="90">
        <v>386572</v>
      </c>
      <c r="H12" s="90">
        <v>398548</v>
      </c>
      <c r="I12" s="90">
        <v>398944</v>
      </c>
      <c r="J12" s="90">
        <v>394925</v>
      </c>
      <c r="K12" s="90">
        <v>392195</v>
      </c>
      <c r="L12" s="90">
        <v>371628</v>
      </c>
      <c r="M12" s="90">
        <v>359538</v>
      </c>
      <c r="N12" s="90">
        <v>349137</v>
      </c>
      <c r="O12" s="90">
        <v>338071</v>
      </c>
      <c r="P12" s="90">
        <v>354762</v>
      </c>
      <c r="Q12" s="90">
        <v>375799</v>
      </c>
      <c r="R12" s="90">
        <v>373777</v>
      </c>
      <c r="S12" s="90">
        <v>368432</v>
      </c>
      <c r="T12" s="90">
        <v>366389</v>
      </c>
      <c r="U12" s="90">
        <v>354276</v>
      </c>
      <c r="V12" s="90">
        <v>339455</v>
      </c>
      <c r="W12" s="90">
        <v>335879</v>
      </c>
      <c r="X12" s="90">
        <v>331452</v>
      </c>
      <c r="Y12" s="90">
        <v>332230</v>
      </c>
      <c r="Z12" s="90">
        <v>330172</v>
      </c>
      <c r="AA12" s="90">
        <v>334352</v>
      </c>
      <c r="AB12" s="90">
        <v>342123</v>
      </c>
      <c r="AC12" s="111"/>
      <c r="AD12" s="159"/>
      <c r="AE12" s="159"/>
      <c r="AF12" s="159"/>
    </row>
    <row r="13" spans="1:32" ht="27" customHeight="1">
      <c r="A13" s="168"/>
      <c r="B13" s="195" t="s">
        <v>161</v>
      </c>
      <c r="C13" s="195"/>
      <c r="D13" s="195"/>
      <c r="E13" s="195"/>
      <c r="F13" s="90">
        <v>235187</v>
      </c>
      <c r="G13" s="90">
        <v>233982</v>
      </c>
      <c r="H13" s="90">
        <v>238334</v>
      </c>
      <c r="I13" s="90">
        <v>243899</v>
      </c>
      <c r="J13" s="90">
        <v>258274</v>
      </c>
      <c r="K13" s="90">
        <v>273220</v>
      </c>
      <c r="L13" s="90">
        <v>280307</v>
      </c>
      <c r="M13" s="90">
        <v>281465</v>
      </c>
      <c r="N13" s="90">
        <v>281145</v>
      </c>
      <c r="O13" s="90">
        <v>324427</v>
      </c>
      <c r="P13" s="90">
        <v>306165</v>
      </c>
      <c r="Q13" s="90">
        <v>319816</v>
      </c>
      <c r="R13" s="90">
        <v>280896</v>
      </c>
      <c r="S13" s="90">
        <v>288268</v>
      </c>
      <c r="T13" s="90">
        <v>297423</v>
      </c>
      <c r="U13" s="90">
        <v>287418</v>
      </c>
      <c r="V13" s="90">
        <v>282613</v>
      </c>
      <c r="W13" s="90">
        <v>277448</v>
      </c>
      <c r="X13" s="90">
        <v>247234</v>
      </c>
      <c r="Y13" s="90">
        <v>263369</v>
      </c>
      <c r="Z13" s="90">
        <v>259319</v>
      </c>
      <c r="AA13" s="90">
        <v>259108</v>
      </c>
      <c r="AB13" s="90">
        <v>258216</v>
      </c>
      <c r="AC13" s="56"/>
    </row>
    <row r="14" spans="1:32">
      <c r="A14" s="168"/>
      <c r="B14" s="83"/>
      <c r="C14" s="83" t="s">
        <v>86</v>
      </c>
      <c r="D14" s="83"/>
      <c r="E14" s="83"/>
      <c r="F14" s="91">
        <v>12048</v>
      </c>
      <c r="G14" s="91">
        <v>11682</v>
      </c>
      <c r="H14" s="91">
        <v>11919</v>
      </c>
      <c r="I14" s="91">
        <v>12398</v>
      </c>
      <c r="J14" s="91">
        <v>14256</v>
      </c>
      <c r="K14" s="91">
        <v>13967</v>
      </c>
      <c r="L14" s="91">
        <v>14057</v>
      </c>
      <c r="M14" s="91">
        <v>13190</v>
      </c>
      <c r="N14" s="91">
        <v>13295</v>
      </c>
      <c r="O14" s="91">
        <v>13616</v>
      </c>
      <c r="P14" s="91">
        <v>1400</v>
      </c>
      <c r="Q14" s="91">
        <v>918</v>
      </c>
      <c r="R14" s="91">
        <v>734</v>
      </c>
      <c r="S14" s="91">
        <v>721</v>
      </c>
      <c r="T14" s="91">
        <v>778</v>
      </c>
      <c r="U14" s="91">
        <v>628</v>
      </c>
      <c r="V14" s="91">
        <v>652</v>
      </c>
      <c r="W14" s="91">
        <v>621</v>
      </c>
      <c r="X14" s="91">
        <v>580</v>
      </c>
      <c r="Y14" s="91">
        <v>582</v>
      </c>
      <c r="Z14" s="91">
        <v>548</v>
      </c>
      <c r="AA14" s="91">
        <v>523</v>
      </c>
      <c r="AB14" s="91">
        <v>579</v>
      </c>
      <c r="AC14" s="56"/>
    </row>
    <row r="15" spans="1:32">
      <c r="A15" s="168"/>
      <c r="B15" s="85"/>
      <c r="C15" s="86" t="s">
        <v>87</v>
      </c>
      <c r="D15" s="85"/>
      <c r="E15" s="85"/>
      <c r="F15" s="92">
        <v>223139</v>
      </c>
      <c r="G15" s="91">
        <v>222300</v>
      </c>
      <c r="H15" s="92">
        <v>226415</v>
      </c>
      <c r="I15" s="92">
        <v>231501</v>
      </c>
      <c r="J15" s="92">
        <v>244018</v>
      </c>
      <c r="K15" s="92">
        <v>259253</v>
      </c>
      <c r="L15" s="92">
        <v>266250</v>
      </c>
      <c r="M15" s="92">
        <v>268275</v>
      </c>
      <c r="N15" s="92">
        <v>267850</v>
      </c>
      <c r="O15" s="92">
        <v>310811</v>
      </c>
      <c r="P15" s="92">
        <v>304765</v>
      </c>
      <c r="Q15" s="92">
        <v>318898</v>
      </c>
      <c r="R15" s="92">
        <v>280162</v>
      </c>
      <c r="S15" s="92">
        <v>287547</v>
      </c>
      <c r="T15" s="92">
        <v>296645</v>
      </c>
      <c r="U15" s="92">
        <v>286790</v>
      </c>
      <c r="V15" s="92">
        <v>281961</v>
      </c>
      <c r="W15" s="92">
        <v>276827</v>
      </c>
      <c r="X15" s="92">
        <v>246654</v>
      </c>
      <c r="Y15" s="92">
        <v>262787</v>
      </c>
      <c r="Z15" s="92">
        <v>258771</v>
      </c>
      <c r="AA15" s="92">
        <v>258585</v>
      </c>
      <c r="AB15" s="92">
        <v>257637</v>
      </c>
      <c r="AC15" s="56"/>
    </row>
    <row r="16" spans="1:32" ht="21" customHeight="1">
      <c r="A16" s="168"/>
      <c r="B16" s="196" t="s">
        <v>167</v>
      </c>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50"/>
      <c r="AD16" s="150"/>
      <c r="AE16" s="150"/>
      <c r="AF16" s="150"/>
    </row>
    <row r="17" spans="1:32" ht="21" customHeight="1">
      <c r="A17" s="168"/>
      <c r="B17" s="87" t="s">
        <v>83</v>
      </c>
      <c r="C17" s="87"/>
      <c r="D17" s="87"/>
      <c r="E17" s="87"/>
      <c r="F17" s="88">
        <v>1079331</v>
      </c>
      <c r="G17" s="88">
        <v>1077757</v>
      </c>
      <c r="H17" s="88">
        <v>1113854</v>
      </c>
      <c r="I17" s="88">
        <v>1140086</v>
      </c>
      <c r="J17" s="88">
        <v>1147744</v>
      </c>
      <c r="K17" s="88">
        <v>1160469</v>
      </c>
      <c r="L17" s="88">
        <v>1145224</v>
      </c>
      <c r="M17" s="88">
        <v>1138245</v>
      </c>
      <c r="N17" s="88">
        <v>1140448</v>
      </c>
      <c r="O17" s="88">
        <v>1104937.1255025847</v>
      </c>
      <c r="P17" s="88">
        <v>1047777</v>
      </c>
      <c r="Q17" s="88">
        <v>1014073</v>
      </c>
      <c r="R17" s="88">
        <v>1001193</v>
      </c>
      <c r="S17" s="88">
        <v>1002777</v>
      </c>
      <c r="T17" s="88">
        <v>1004213</v>
      </c>
      <c r="U17" s="88">
        <v>1010914</v>
      </c>
      <c r="V17" s="88">
        <v>999948</v>
      </c>
      <c r="W17" s="88">
        <v>967770</v>
      </c>
      <c r="X17" s="88">
        <v>934896</v>
      </c>
      <c r="Y17" s="88">
        <v>925423</v>
      </c>
      <c r="Z17" s="88">
        <v>927299</v>
      </c>
      <c r="AA17" s="88">
        <v>883071</v>
      </c>
      <c r="AB17" s="88">
        <v>870367</v>
      </c>
      <c r="AC17" s="111"/>
      <c r="AD17" s="159"/>
      <c r="AE17" s="159"/>
      <c r="AF17" s="159"/>
    </row>
    <row r="18" spans="1:32" ht="13.5">
      <c r="A18" s="168"/>
      <c r="B18" s="12"/>
      <c r="C18" s="12" t="s">
        <v>21</v>
      </c>
      <c r="D18" s="12"/>
      <c r="E18" s="12"/>
      <c r="F18" s="56">
        <v>716844</v>
      </c>
      <c r="G18" s="56">
        <v>700734</v>
      </c>
      <c r="H18" s="56">
        <v>697920</v>
      </c>
      <c r="I18" s="56">
        <v>684922</v>
      </c>
      <c r="J18" s="56">
        <v>680870</v>
      </c>
      <c r="K18" s="56">
        <v>684810</v>
      </c>
      <c r="L18" s="56">
        <v>668955</v>
      </c>
      <c r="M18" s="56">
        <v>669962</v>
      </c>
      <c r="N18" s="56">
        <v>664758</v>
      </c>
      <c r="O18" s="56">
        <v>642886</v>
      </c>
      <c r="P18" s="56">
        <v>596094</v>
      </c>
      <c r="Q18" s="56">
        <v>579912</v>
      </c>
      <c r="R18" s="56">
        <v>568365</v>
      </c>
      <c r="S18" s="56">
        <v>563784</v>
      </c>
      <c r="T18" s="56">
        <v>553147</v>
      </c>
      <c r="U18" s="56">
        <v>562120</v>
      </c>
      <c r="V18" s="56">
        <v>555727</v>
      </c>
      <c r="W18" s="56">
        <v>540060</v>
      </c>
      <c r="X18" s="56">
        <v>524370</v>
      </c>
      <c r="Y18" s="56">
        <v>512855</v>
      </c>
      <c r="Z18" s="56">
        <v>519392</v>
      </c>
      <c r="AA18" s="56">
        <v>502762</v>
      </c>
      <c r="AB18" s="56">
        <v>501152</v>
      </c>
      <c r="AC18" s="111"/>
      <c r="AD18" s="159"/>
    </row>
    <row r="19" spans="1:32" ht="13.5">
      <c r="A19" s="168"/>
      <c r="B19" s="12"/>
      <c r="C19" s="12"/>
      <c r="D19" s="12" t="s">
        <v>91</v>
      </c>
      <c r="E19" s="12"/>
      <c r="F19" s="56">
        <v>613062</v>
      </c>
      <c r="G19" s="56">
        <v>589675</v>
      </c>
      <c r="H19" s="56">
        <v>581916</v>
      </c>
      <c r="I19" s="56">
        <v>568631</v>
      </c>
      <c r="J19" s="56">
        <v>568000</v>
      </c>
      <c r="K19" s="56">
        <v>578148</v>
      </c>
      <c r="L19" s="56">
        <v>576500</v>
      </c>
      <c r="M19" s="56">
        <v>586001</v>
      </c>
      <c r="N19" s="56">
        <v>592502</v>
      </c>
      <c r="O19" s="56">
        <v>576141</v>
      </c>
      <c r="P19" s="56">
        <v>535135</v>
      </c>
      <c r="Q19" s="56">
        <v>519632</v>
      </c>
      <c r="R19" s="56">
        <v>507884</v>
      </c>
      <c r="S19" s="56">
        <v>498911</v>
      </c>
      <c r="T19" s="56">
        <v>480779</v>
      </c>
      <c r="U19" s="56">
        <v>472317</v>
      </c>
      <c r="V19" s="56">
        <v>462648</v>
      </c>
      <c r="W19" s="56">
        <v>457510</v>
      </c>
      <c r="X19" s="56">
        <v>448586</v>
      </c>
      <c r="Y19" s="56">
        <v>444390</v>
      </c>
      <c r="Z19" s="56">
        <v>449478</v>
      </c>
      <c r="AA19" s="56">
        <v>418066</v>
      </c>
      <c r="AB19" s="56">
        <v>407587</v>
      </c>
      <c r="AC19" s="111"/>
      <c r="AD19" s="159"/>
      <c r="AE19" s="159"/>
      <c r="AF19" s="159"/>
    </row>
    <row r="20" spans="1:32" ht="13.5">
      <c r="A20" s="168"/>
      <c r="B20" s="12"/>
      <c r="C20" s="12"/>
      <c r="D20" s="12" t="s">
        <v>23</v>
      </c>
      <c r="E20" s="12"/>
      <c r="F20" s="56">
        <v>67792</v>
      </c>
      <c r="G20" s="56">
        <v>72623</v>
      </c>
      <c r="H20" s="56">
        <v>74893</v>
      </c>
      <c r="I20" s="56">
        <v>74879</v>
      </c>
      <c r="J20" s="56">
        <v>71060</v>
      </c>
      <c r="K20" s="56">
        <v>66504</v>
      </c>
      <c r="L20" s="56">
        <v>55690</v>
      </c>
      <c r="M20" s="56">
        <v>49112</v>
      </c>
      <c r="N20" s="56">
        <v>47091</v>
      </c>
      <c r="O20" s="56">
        <v>43065</v>
      </c>
      <c r="P20" s="56">
        <v>40091</v>
      </c>
      <c r="Q20" s="56">
        <v>40414</v>
      </c>
      <c r="R20" s="56">
        <v>40492</v>
      </c>
      <c r="S20" s="56">
        <v>44952</v>
      </c>
      <c r="T20" s="56">
        <v>67068</v>
      </c>
      <c r="U20" s="56">
        <v>84537</v>
      </c>
      <c r="V20" s="56">
        <v>88134</v>
      </c>
      <c r="W20" s="56">
        <v>77826</v>
      </c>
      <c r="X20" s="56">
        <v>71107</v>
      </c>
      <c r="Y20" s="56">
        <v>64790</v>
      </c>
      <c r="Z20" s="56">
        <v>66953</v>
      </c>
      <c r="AA20" s="56">
        <v>81322</v>
      </c>
      <c r="AB20" s="56">
        <v>90171</v>
      </c>
      <c r="AC20" s="111"/>
      <c r="AD20" s="159"/>
    </row>
    <row r="21" spans="1:32" ht="13.5">
      <c r="A21" s="168"/>
      <c r="B21" s="12"/>
      <c r="C21" s="12"/>
      <c r="D21" s="12" t="s">
        <v>24</v>
      </c>
      <c r="E21" s="12"/>
      <c r="F21" s="56">
        <v>35990</v>
      </c>
      <c r="G21" s="56">
        <v>38436</v>
      </c>
      <c r="H21" s="56">
        <v>41111</v>
      </c>
      <c r="I21" s="56">
        <v>41412</v>
      </c>
      <c r="J21" s="56">
        <v>41810</v>
      </c>
      <c r="K21" s="56">
        <v>40158</v>
      </c>
      <c r="L21" s="56">
        <v>36765</v>
      </c>
      <c r="M21" s="56">
        <v>34849</v>
      </c>
      <c r="N21" s="56">
        <v>25165</v>
      </c>
      <c r="O21" s="56">
        <v>23680</v>
      </c>
      <c r="P21" s="56">
        <v>20868</v>
      </c>
      <c r="Q21" s="56">
        <v>19866</v>
      </c>
      <c r="R21" s="56">
        <v>19989</v>
      </c>
      <c r="S21" s="56">
        <v>19921</v>
      </c>
      <c r="T21" s="56">
        <v>5300</v>
      </c>
      <c r="U21" s="56">
        <v>5266</v>
      </c>
      <c r="V21" s="56">
        <v>4945</v>
      </c>
      <c r="W21" s="56">
        <v>4724</v>
      </c>
      <c r="X21" s="56">
        <v>4677</v>
      </c>
      <c r="Y21" s="56">
        <v>3675</v>
      </c>
      <c r="Z21" s="56">
        <v>2961</v>
      </c>
      <c r="AA21" s="56">
        <v>3374</v>
      </c>
      <c r="AB21" s="56">
        <v>3394</v>
      </c>
      <c r="AC21" s="111"/>
      <c r="AD21" s="159"/>
    </row>
    <row r="22" spans="1:32" ht="13.5">
      <c r="A22" s="168"/>
      <c r="B22" s="12"/>
      <c r="C22" s="12" t="s">
        <v>25</v>
      </c>
      <c r="D22" s="12"/>
      <c r="E22" s="12"/>
      <c r="F22" s="56">
        <v>682</v>
      </c>
      <c r="G22" s="56">
        <v>709</v>
      </c>
      <c r="H22" s="56">
        <v>705</v>
      </c>
      <c r="I22" s="56">
        <v>669</v>
      </c>
      <c r="J22" s="56">
        <v>650</v>
      </c>
      <c r="K22" s="56">
        <v>593</v>
      </c>
      <c r="L22" s="56">
        <v>523</v>
      </c>
      <c r="M22" s="56">
        <v>481</v>
      </c>
      <c r="N22" s="56">
        <v>609</v>
      </c>
      <c r="O22" s="56">
        <v>534</v>
      </c>
      <c r="P22" s="56">
        <v>485</v>
      </c>
      <c r="Q22" s="56">
        <v>420</v>
      </c>
      <c r="R22" s="56">
        <v>349</v>
      </c>
      <c r="S22" s="56">
        <v>279</v>
      </c>
      <c r="T22" s="56">
        <v>239</v>
      </c>
      <c r="U22" s="56">
        <v>146</v>
      </c>
      <c r="V22" s="56">
        <v>106</v>
      </c>
      <c r="W22" s="56">
        <v>45</v>
      </c>
      <c r="X22" s="56">
        <v>50</v>
      </c>
      <c r="Y22" s="56">
        <v>38</v>
      </c>
      <c r="Z22" s="56">
        <v>32</v>
      </c>
      <c r="AA22" s="56">
        <v>27</v>
      </c>
      <c r="AB22" s="56">
        <v>0</v>
      </c>
      <c r="AC22" s="111"/>
      <c r="AD22" s="159"/>
    </row>
    <row r="23" spans="1:32" ht="13.5">
      <c r="A23" s="168"/>
      <c r="B23" s="12"/>
      <c r="C23" s="12" t="s">
        <v>26</v>
      </c>
      <c r="D23" s="12"/>
      <c r="E23" s="12"/>
      <c r="F23" s="56">
        <v>212954</v>
      </c>
      <c r="G23" s="56">
        <v>218238</v>
      </c>
      <c r="H23" s="56">
        <v>244481</v>
      </c>
      <c r="I23" s="56">
        <v>276377</v>
      </c>
      <c r="J23" s="56">
        <v>287763</v>
      </c>
      <c r="K23" s="56">
        <v>287501</v>
      </c>
      <c r="L23" s="56">
        <v>286418</v>
      </c>
      <c r="M23" s="56">
        <v>278229</v>
      </c>
      <c r="N23" s="56">
        <v>272862</v>
      </c>
      <c r="O23" s="56">
        <v>255922</v>
      </c>
      <c r="P23" s="56">
        <v>241741</v>
      </c>
      <c r="Q23" s="56">
        <v>228450</v>
      </c>
      <c r="R23" s="56">
        <v>224622</v>
      </c>
      <c r="S23" s="56">
        <v>225357</v>
      </c>
      <c r="T23" s="56">
        <v>234755</v>
      </c>
      <c r="U23" s="56">
        <v>228579</v>
      </c>
      <c r="V23" s="56">
        <v>228280</v>
      </c>
      <c r="W23" s="56">
        <v>223224</v>
      </c>
      <c r="X23" s="56">
        <v>216590</v>
      </c>
      <c r="Y23" s="56">
        <v>222216</v>
      </c>
      <c r="Z23" s="56">
        <v>216613</v>
      </c>
      <c r="AA23" s="56">
        <v>192430</v>
      </c>
      <c r="AB23" s="56">
        <v>189397</v>
      </c>
      <c r="AC23" s="111"/>
      <c r="AD23" s="159"/>
      <c r="AE23" s="159"/>
      <c r="AF23" s="159"/>
    </row>
    <row r="24" spans="1:32" ht="13.5">
      <c r="A24" s="168"/>
      <c r="B24" s="12"/>
      <c r="C24" s="12" t="s">
        <v>27</v>
      </c>
      <c r="D24" s="12"/>
      <c r="E24" s="12"/>
      <c r="F24" s="56">
        <v>7325</v>
      </c>
      <c r="G24" s="56"/>
      <c r="H24" s="56">
        <v>8682</v>
      </c>
      <c r="I24" s="56">
        <v>11249</v>
      </c>
      <c r="J24" s="56">
        <v>11768</v>
      </c>
      <c r="K24" s="56">
        <v>11879</v>
      </c>
      <c r="L24" s="56">
        <v>11795</v>
      </c>
      <c r="M24" s="56">
        <v>12526</v>
      </c>
      <c r="N24" s="56">
        <v>13977</v>
      </c>
      <c r="O24" s="56">
        <v>14413</v>
      </c>
      <c r="P24" s="56">
        <v>14745</v>
      </c>
      <c r="Q24" s="56">
        <v>13897</v>
      </c>
      <c r="R24" s="56">
        <v>13218</v>
      </c>
      <c r="S24" s="56">
        <v>12614</v>
      </c>
      <c r="T24" s="56">
        <v>11802</v>
      </c>
      <c r="U24" s="56">
        <v>11157</v>
      </c>
      <c r="V24" s="56">
        <v>9836</v>
      </c>
      <c r="W24" s="56">
        <v>8990</v>
      </c>
      <c r="X24" s="56">
        <v>7821</v>
      </c>
      <c r="Y24" s="56">
        <v>7375</v>
      </c>
      <c r="Z24" s="56">
        <v>7393</v>
      </c>
      <c r="AA24" s="56">
        <v>6466</v>
      </c>
      <c r="AB24" s="56">
        <v>5512</v>
      </c>
      <c r="AC24" s="111"/>
      <c r="AD24" s="159"/>
    </row>
    <row r="25" spans="1:32" ht="13.5">
      <c r="A25" s="168"/>
      <c r="B25" s="12"/>
      <c r="C25" s="12" t="s">
        <v>28</v>
      </c>
      <c r="D25" s="12"/>
      <c r="E25" s="12"/>
      <c r="F25" s="56">
        <v>30011</v>
      </c>
      <c r="G25" s="56">
        <v>31999</v>
      </c>
      <c r="H25" s="56">
        <v>35066</v>
      </c>
      <c r="I25" s="56">
        <v>36390</v>
      </c>
      <c r="J25" s="56">
        <v>37086</v>
      </c>
      <c r="K25" s="56">
        <v>47073</v>
      </c>
      <c r="L25" s="56">
        <v>47480</v>
      </c>
      <c r="M25" s="56">
        <v>48607</v>
      </c>
      <c r="N25" s="56">
        <v>49827</v>
      </c>
      <c r="O25" s="56">
        <v>49161</v>
      </c>
      <c r="P25" s="56">
        <v>51763</v>
      </c>
      <c r="Q25" s="56">
        <v>52094</v>
      </c>
      <c r="R25" s="56">
        <v>53311</v>
      </c>
      <c r="S25" s="56">
        <v>56330</v>
      </c>
      <c r="T25" s="56">
        <v>59784</v>
      </c>
      <c r="U25" s="56">
        <v>61114</v>
      </c>
      <c r="V25" s="56">
        <v>60702</v>
      </c>
      <c r="W25" s="56">
        <v>58011</v>
      </c>
      <c r="X25" s="56">
        <v>55422</v>
      </c>
      <c r="Y25" s="56">
        <v>53465</v>
      </c>
      <c r="Z25" s="56">
        <v>52788</v>
      </c>
      <c r="AA25" s="56">
        <v>53028</v>
      </c>
      <c r="AB25" s="56">
        <v>51711</v>
      </c>
      <c r="AC25" s="111"/>
      <c r="AD25" s="159"/>
      <c r="AE25" s="159"/>
      <c r="AF25" s="159"/>
    </row>
    <row r="26" spans="1:32" ht="13.5">
      <c r="A26" s="168"/>
      <c r="B26" s="12"/>
      <c r="C26" s="12" t="s">
        <v>29</v>
      </c>
      <c r="D26" s="12"/>
      <c r="E26" s="12"/>
      <c r="F26" s="56">
        <v>53248</v>
      </c>
      <c r="G26" s="56">
        <v>57260</v>
      </c>
      <c r="H26" s="56">
        <v>62646</v>
      </c>
      <c r="I26" s="56">
        <v>65209</v>
      </c>
      <c r="J26" s="56">
        <v>66682</v>
      </c>
      <c r="K26" s="56">
        <v>68786</v>
      </c>
      <c r="L26" s="56">
        <v>70921</v>
      </c>
      <c r="M26" s="56">
        <v>71031</v>
      </c>
      <c r="N26" s="56">
        <v>76394</v>
      </c>
      <c r="O26" s="56">
        <v>75965.12550258472</v>
      </c>
      <c r="P26" s="56">
        <v>74662</v>
      </c>
      <c r="Q26" s="56">
        <v>70993</v>
      </c>
      <c r="R26" s="56">
        <v>69521</v>
      </c>
      <c r="S26" s="56">
        <v>70425</v>
      </c>
      <c r="T26" s="56">
        <v>70092</v>
      </c>
      <c r="U26" s="56">
        <v>73598</v>
      </c>
      <c r="V26" s="56">
        <v>73295</v>
      </c>
      <c r="W26" s="56">
        <v>67593</v>
      </c>
      <c r="X26" s="56">
        <v>62378</v>
      </c>
      <c r="Y26" s="56">
        <v>61371</v>
      </c>
      <c r="Z26" s="56">
        <v>61468</v>
      </c>
      <c r="AA26" s="56">
        <v>59167</v>
      </c>
      <c r="AB26" s="56">
        <v>57663</v>
      </c>
      <c r="AC26" s="111"/>
      <c r="AD26" s="159"/>
    </row>
    <row r="27" spans="1:32" ht="13.5">
      <c r="A27" s="168"/>
      <c r="B27" s="12"/>
      <c r="C27" s="12" t="s">
        <v>30</v>
      </c>
      <c r="D27" s="12"/>
      <c r="E27" s="12"/>
      <c r="F27" s="56">
        <v>55175</v>
      </c>
      <c r="G27" s="56">
        <v>58039</v>
      </c>
      <c r="H27" s="56">
        <v>61562</v>
      </c>
      <c r="I27" s="56">
        <v>62582</v>
      </c>
      <c r="J27" s="56">
        <v>60163</v>
      </c>
      <c r="K27" s="56">
        <v>56813</v>
      </c>
      <c r="L27" s="56">
        <v>55685</v>
      </c>
      <c r="M27" s="56">
        <v>54287</v>
      </c>
      <c r="N27" s="56">
        <v>58891</v>
      </c>
      <c r="O27" s="56">
        <v>62901</v>
      </c>
      <c r="P27" s="56">
        <v>65009</v>
      </c>
      <c r="Q27" s="56">
        <v>64988</v>
      </c>
      <c r="R27" s="56">
        <v>68166</v>
      </c>
      <c r="S27" s="56">
        <v>70230</v>
      </c>
      <c r="T27" s="56">
        <v>70445</v>
      </c>
      <c r="U27" s="56">
        <v>70315</v>
      </c>
      <c r="V27" s="56">
        <v>68059</v>
      </c>
      <c r="W27" s="56">
        <v>65853</v>
      </c>
      <c r="X27" s="56">
        <v>64217</v>
      </c>
      <c r="Y27" s="56">
        <v>63977</v>
      </c>
      <c r="Z27" s="56">
        <v>65334</v>
      </c>
      <c r="AA27" s="56">
        <v>62847</v>
      </c>
      <c r="AB27" s="56">
        <v>59707</v>
      </c>
      <c r="AC27" s="111"/>
      <c r="AD27" s="159"/>
      <c r="AE27" s="159"/>
      <c r="AF27" s="159"/>
    </row>
    <row r="28" spans="1:32" ht="13.5">
      <c r="A28" s="168"/>
      <c r="B28" s="13"/>
      <c r="C28" s="13" t="s">
        <v>31</v>
      </c>
      <c r="D28" s="13"/>
      <c r="E28" s="13"/>
      <c r="F28" s="63">
        <v>3092</v>
      </c>
      <c r="G28" s="56">
        <v>2871</v>
      </c>
      <c r="H28" s="63">
        <v>2792</v>
      </c>
      <c r="I28" s="63">
        <v>2688</v>
      </c>
      <c r="J28" s="63">
        <v>2762</v>
      </c>
      <c r="K28" s="63">
        <v>3014</v>
      </c>
      <c r="L28" s="63">
        <v>3447</v>
      </c>
      <c r="M28" s="63">
        <v>3122</v>
      </c>
      <c r="N28" s="63">
        <v>3130</v>
      </c>
      <c r="O28" s="63">
        <v>3155</v>
      </c>
      <c r="P28" s="63">
        <v>3278</v>
      </c>
      <c r="Q28" s="63">
        <v>3319</v>
      </c>
      <c r="R28" s="63">
        <v>3641</v>
      </c>
      <c r="S28" s="63">
        <v>3758</v>
      </c>
      <c r="T28" s="63">
        <v>3949</v>
      </c>
      <c r="U28" s="63">
        <v>3885</v>
      </c>
      <c r="V28" s="63">
        <v>3943</v>
      </c>
      <c r="W28" s="63">
        <v>3994</v>
      </c>
      <c r="X28" s="63">
        <v>4048</v>
      </c>
      <c r="Y28" s="63">
        <v>4126</v>
      </c>
      <c r="Z28" s="63">
        <v>4279</v>
      </c>
      <c r="AA28" s="63">
        <v>6344</v>
      </c>
      <c r="AB28" s="63">
        <v>5225</v>
      </c>
      <c r="AC28" s="111"/>
      <c r="AD28" s="159"/>
    </row>
    <row r="29" spans="1:32" ht="19.5" customHeight="1">
      <c r="A29" s="168">
        <v>88</v>
      </c>
      <c r="B29" s="197" t="s">
        <v>169</v>
      </c>
      <c r="C29" s="197"/>
      <c r="D29" s="197"/>
      <c r="E29" s="197"/>
      <c r="F29" s="197"/>
      <c r="G29" s="197"/>
      <c r="H29" s="197"/>
      <c r="I29" s="197"/>
      <c r="J29" s="197"/>
      <c r="K29" s="197"/>
      <c r="L29" s="197"/>
      <c r="M29" s="197"/>
      <c r="N29" s="197"/>
      <c r="O29" s="197"/>
      <c r="P29" s="197"/>
      <c r="Q29" s="197"/>
      <c r="R29" s="197"/>
      <c r="S29" s="197"/>
      <c r="T29" s="197"/>
      <c r="U29" s="197"/>
      <c r="V29" s="197"/>
      <c r="W29" s="197"/>
      <c r="X29" s="197"/>
      <c r="Y29" s="197"/>
      <c r="Z29" s="197"/>
      <c r="AA29" s="197"/>
      <c r="AB29" s="197"/>
    </row>
    <row r="30" spans="1:32">
      <c r="A30" s="168"/>
      <c r="B30" s="84" t="s">
        <v>83</v>
      </c>
      <c r="C30" s="12"/>
      <c r="D30" s="12"/>
      <c r="E30" s="12"/>
      <c r="F30" s="88">
        <v>251778</v>
      </c>
      <c r="G30" s="88">
        <v>244205</v>
      </c>
      <c r="H30" s="88">
        <v>272368</v>
      </c>
      <c r="I30" s="88">
        <v>278677</v>
      </c>
      <c r="J30" s="88">
        <v>279743</v>
      </c>
      <c r="K30" s="88">
        <v>292193</v>
      </c>
      <c r="L30" s="88">
        <v>286198</v>
      </c>
      <c r="M30" s="88">
        <v>290661</v>
      </c>
      <c r="N30" s="88">
        <v>306726</v>
      </c>
      <c r="O30" s="88">
        <v>304636</v>
      </c>
      <c r="P30" s="88">
        <v>277204</v>
      </c>
      <c r="Q30" s="88">
        <v>268025</v>
      </c>
      <c r="R30" s="88">
        <v>272361</v>
      </c>
      <c r="S30" s="88">
        <v>270841</v>
      </c>
      <c r="T30" s="88">
        <v>273496</v>
      </c>
      <c r="U30" s="88">
        <v>273480</v>
      </c>
      <c r="V30" s="88">
        <v>275342</v>
      </c>
      <c r="W30" s="88">
        <v>260947</v>
      </c>
      <c r="X30" s="88">
        <v>259146</v>
      </c>
      <c r="Y30" s="88">
        <v>247507</v>
      </c>
      <c r="Z30" s="88">
        <v>236592</v>
      </c>
      <c r="AA30" s="88">
        <v>229717</v>
      </c>
      <c r="AB30" s="88">
        <v>220091</v>
      </c>
    </row>
    <row r="31" spans="1:32" ht="19.5" customHeight="1">
      <c r="A31" s="168"/>
      <c r="B31" s="195" t="s">
        <v>211</v>
      </c>
      <c r="C31" s="195"/>
      <c r="D31" s="195"/>
      <c r="E31" s="195"/>
      <c r="F31" s="90">
        <v>51544</v>
      </c>
      <c r="G31" s="90">
        <v>35901</v>
      </c>
      <c r="H31" s="90">
        <v>43912</v>
      </c>
      <c r="I31" s="90">
        <v>41650</v>
      </c>
      <c r="J31" s="90">
        <v>39151</v>
      </c>
      <c r="K31" s="90">
        <v>37758</v>
      </c>
      <c r="L31" s="90">
        <v>34319</v>
      </c>
      <c r="M31" s="90">
        <v>34124</v>
      </c>
      <c r="N31" s="90">
        <v>34568</v>
      </c>
      <c r="O31" s="90">
        <v>33219</v>
      </c>
      <c r="P31" s="90">
        <v>31743</v>
      </c>
      <c r="Q31" s="90">
        <v>31456</v>
      </c>
      <c r="R31" s="90">
        <v>30455</v>
      </c>
      <c r="S31" s="90">
        <v>30692</v>
      </c>
      <c r="T31" s="90">
        <v>33987</v>
      </c>
      <c r="U31" s="90">
        <v>42411</v>
      </c>
      <c r="V31" s="90">
        <v>51815</v>
      </c>
      <c r="W31" s="90">
        <v>48157</v>
      </c>
      <c r="X31" s="90">
        <v>48168</v>
      </c>
      <c r="Y31" s="90">
        <v>42910</v>
      </c>
      <c r="Z31" s="90">
        <v>38897</v>
      </c>
      <c r="AA31" s="90">
        <v>41401</v>
      </c>
      <c r="AB31" s="90">
        <v>42501</v>
      </c>
      <c r="AC31" s="150"/>
      <c r="AD31" s="150"/>
      <c r="AE31" s="150"/>
      <c r="AF31" s="150"/>
    </row>
    <row r="32" spans="1:32" ht="27" customHeight="1">
      <c r="A32" s="168"/>
      <c r="B32" s="195" t="s">
        <v>210</v>
      </c>
      <c r="C32" s="195"/>
      <c r="D32" s="195"/>
      <c r="E32" s="195"/>
      <c r="F32" s="90">
        <v>74270</v>
      </c>
      <c r="G32" s="90">
        <v>72753</v>
      </c>
      <c r="H32" s="90">
        <v>79501</v>
      </c>
      <c r="I32" s="90">
        <v>81484</v>
      </c>
      <c r="J32" s="90">
        <v>83599</v>
      </c>
      <c r="K32" s="90">
        <v>92305</v>
      </c>
      <c r="L32" s="90">
        <v>90450</v>
      </c>
      <c r="M32" s="90">
        <v>89032</v>
      </c>
      <c r="N32" s="90">
        <v>94981</v>
      </c>
      <c r="O32" s="90">
        <v>89431</v>
      </c>
      <c r="P32" s="90">
        <v>84459</v>
      </c>
      <c r="Q32" s="90">
        <v>81541</v>
      </c>
      <c r="R32" s="90">
        <v>87660</v>
      </c>
      <c r="S32" s="90">
        <v>83592</v>
      </c>
      <c r="T32" s="90">
        <v>83483</v>
      </c>
      <c r="U32" s="90">
        <v>77709</v>
      </c>
      <c r="V32" s="90">
        <v>73750</v>
      </c>
      <c r="W32" s="90">
        <v>71614</v>
      </c>
      <c r="X32" s="90">
        <v>76644</v>
      </c>
      <c r="Y32" s="90">
        <v>74494</v>
      </c>
      <c r="Z32" s="90">
        <v>72220</v>
      </c>
      <c r="AA32" s="90">
        <v>67573</v>
      </c>
      <c r="AB32" s="90">
        <v>64192</v>
      </c>
      <c r="AC32" s="111"/>
      <c r="AD32" s="159"/>
      <c r="AE32" s="159"/>
      <c r="AF32" s="159"/>
    </row>
    <row r="33" spans="1:41" ht="24" customHeight="1">
      <c r="A33" s="168"/>
      <c r="B33" s="195" t="s">
        <v>161</v>
      </c>
      <c r="C33" s="195"/>
      <c r="D33" s="195"/>
      <c r="E33" s="195"/>
      <c r="F33" s="90">
        <v>125964</v>
      </c>
      <c r="G33" s="90">
        <v>135551</v>
      </c>
      <c r="H33" s="90">
        <v>148955</v>
      </c>
      <c r="I33" s="90">
        <v>155543</v>
      </c>
      <c r="J33" s="90">
        <v>156993</v>
      </c>
      <c r="K33" s="90">
        <v>162130</v>
      </c>
      <c r="L33" s="90">
        <v>161429</v>
      </c>
      <c r="M33" s="90">
        <v>167505</v>
      </c>
      <c r="N33" s="90">
        <v>177177</v>
      </c>
      <c r="O33" s="90">
        <v>181986</v>
      </c>
      <c r="P33" s="90">
        <v>161002</v>
      </c>
      <c r="Q33" s="90">
        <v>155028</v>
      </c>
      <c r="R33" s="90">
        <v>154246</v>
      </c>
      <c r="S33" s="90">
        <v>156557</v>
      </c>
      <c r="T33" s="90">
        <v>156026</v>
      </c>
      <c r="U33" s="90">
        <v>153360</v>
      </c>
      <c r="V33" s="90">
        <v>149777</v>
      </c>
      <c r="W33" s="90">
        <v>141176</v>
      </c>
      <c r="X33" s="90">
        <v>134334</v>
      </c>
      <c r="Y33" s="90">
        <v>130103</v>
      </c>
      <c r="Z33" s="90">
        <v>125475</v>
      </c>
      <c r="AA33" s="90">
        <v>120743</v>
      </c>
      <c r="AB33" s="90">
        <v>113398</v>
      </c>
    </row>
    <row r="34" spans="1:41">
      <c r="A34" s="168"/>
      <c r="B34" s="12"/>
      <c r="C34" s="12" t="s">
        <v>86</v>
      </c>
      <c r="D34" s="12"/>
      <c r="E34" s="12"/>
      <c r="F34" s="91">
        <v>95847</v>
      </c>
      <c r="G34" s="91">
        <v>102612</v>
      </c>
      <c r="H34" s="91">
        <v>111829</v>
      </c>
      <c r="I34" s="91">
        <v>116316</v>
      </c>
      <c r="J34" s="91">
        <v>115382</v>
      </c>
      <c r="K34" s="91">
        <v>118778</v>
      </c>
      <c r="L34" s="91">
        <v>117484</v>
      </c>
      <c r="M34" s="91">
        <v>121293</v>
      </c>
      <c r="N34" s="91">
        <v>129114</v>
      </c>
      <c r="O34" s="91">
        <v>132818</v>
      </c>
      <c r="P34" s="91">
        <v>109091</v>
      </c>
      <c r="Q34" s="91">
        <v>102521</v>
      </c>
      <c r="R34" s="91">
        <v>101685</v>
      </c>
      <c r="S34" s="91">
        <v>102143</v>
      </c>
      <c r="T34" s="91">
        <v>98783</v>
      </c>
      <c r="U34" s="91">
        <v>94846</v>
      </c>
      <c r="V34" s="91">
        <v>93050</v>
      </c>
      <c r="W34" s="91">
        <v>86353</v>
      </c>
      <c r="X34" s="91">
        <v>81410</v>
      </c>
      <c r="Y34" s="91">
        <v>79474</v>
      </c>
      <c r="Z34" s="91">
        <v>76641</v>
      </c>
      <c r="AA34" s="91">
        <v>72338</v>
      </c>
      <c r="AB34" s="91">
        <v>67983</v>
      </c>
    </row>
    <row r="35" spans="1:41">
      <c r="A35" s="168"/>
      <c r="B35" s="12"/>
      <c r="C35" s="12" t="s">
        <v>87</v>
      </c>
      <c r="D35" s="12"/>
      <c r="E35" s="12"/>
      <c r="F35" s="91">
        <v>30117</v>
      </c>
      <c r="G35" s="91">
        <v>32939</v>
      </c>
      <c r="H35" s="91">
        <v>37126</v>
      </c>
      <c r="I35" s="91">
        <v>39227</v>
      </c>
      <c r="J35" s="91">
        <v>41611</v>
      </c>
      <c r="K35" s="91">
        <v>43352</v>
      </c>
      <c r="L35" s="91">
        <v>43945</v>
      </c>
      <c r="M35" s="91">
        <v>46212</v>
      </c>
      <c r="N35" s="91">
        <v>48063</v>
      </c>
      <c r="O35" s="91">
        <v>49168</v>
      </c>
      <c r="P35" s="91">
        <v>51911</v>
      </c>
      <c r="Q35" s="91">
        <v>52507</v>
      </c>
      <c r="R35" s="91">
        <v>52561</v>
      </c>
      <c r="S35" s="91">
        <v>54414</v>
      </c>
      <c r="T35" s="91">
        <v>57243</v>
      </c>
      <c r="U35" s="91">
        <v>58514</v>
      </c>
      <c r="V35" s="91">
        <v>56727</v>
      </c>
      <c r="W35" s="91">
        <v>54823</v>
      </c>
      <c r="X35" s="91">
        <v>52924</v>
      </c>
      <c r="Y35" s="91">
        <v>50629</v>
      </c>
      <c r="Z35" s="91">
        <v>48834</v>
      </c>
      <c r="AA35" s="91">
        <v>48405</v>
      </c>
      <c r="AB35" s="91">
        <v>45415</v>
      </c>
    </row>
    <row r="36" spans="1:41" ht="19.5" customHeight="1">
      <c r="A36" s="168"/>
      <c r="B36" s="197" t="s">
        <v>121</v>
      </c>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c r="AA36" s="197"/>
      <c r="AB36" s="197"/>
    </row>
    <row r="37" spans="1:41">
      <c r="A37" s="168"/>
      <c r="B37" s="84" t="s">
        <v>83</v>
      </c>
      <c r="C37" s="12"/>
      <c r="D37" s="12"/>
      <c r="E37" s="12"/>
      <c r="F37" s="88">
        <v>1102140</v>
      </c>
      <c r="G37" s="88">
        <v>1110386</v>
      </c>
      <c r="H37" s="88">
        <v>1155182</v>
      </c>
      <c r="I37" s="88">
        <v>1163242</v>
      </c>
      <c r="J37" s="88">
        <v>1170437</v>
      </c>
      <c r="K37" s="88">
        <v>1186486</v>
      </c>
      <c r="L37" s="88">
        <v>1142374</v>
      </c>
      <c r="M37" s="88">
        <v>1117790</v>
      </c>
      <c r="N37" s="88">
        <v>1110856</v>
      </c>
      <c r="O37" s="88">
        <v>1130418</v>
      </c>
      <c r="P37" s="88">
        <v>1090966</v>
      </c>
      <c r="Q37" s="88">
        <v>1110499</v>
      </c>
      <c r="R37" s="88">
        <v>1069203</v>
      </c>
      <c r="S37" s="88">
        <v>1063204</v>
      </c>
      <c r="T37" s="88">
        <v>1072689</v>
      </c>
      <c r="U37" s="88">
        <v>1045477</v>
      </c>
      <c r="V37" s="88">
        <v>1025978</v>
      </c>
      <c r="W37" s="88">
        <v>1002937</v>
      </c>
      <c r="X37" s="88">
        <v>958080</v>
      </c>
      <c r="Y37" s="88">
        <v>962475</v>
      </c>
      <c r="Z37" s="88">
        <v>948080</v>
      </c>
      <c r="AA37" s="88">
        <v>949819</v>
      </c>
      <c r="AB37" s="88">
        <v>949719</v>
      </c>
      <c r="AC37" s="56"/>
      <c r="AD37" s="56"/>
      <c r="AE37" s="56"/>
      <c r="AF37" s="56"/>
      <c r="AG37" s="56"/>
      <c r="AH37" s="56"/>
      <c r="AI37" s="56"/>
      <c r="AJ37" s="56"/>
      <c r="AK37" s="56"/>
      <c r="AL37" s="56"/>
      <c r="AM37" s="56"/>
      <c r="AN37" s="56"/>
      <c r="AO37" s="56"/>
    </row>
    <row r="38" spans="1:41" ht="18.75" customHeight="1">
      <c r="A38" s="168"/>
      <c r="B38" s="195" t="s">
        <v>211</v>
      </c>
      <c r="C38" s="195"/>
      <c r="D38" s="195"/>
      <c r="E38" s="195"/>
      <c r="F38" s="90">
        <v>290327</v>
      </c>
      <c r="G38" s="90">
        <v>281528</v>
      </c>
      <c r="H38" s="90">
        <v>289844</v>
      </c>
      <c r="I38" s="90">
        <v>283372</v>
      </c>
      <c r="J38" s="90">
        <v>276646</v>
      </c>
      <c r="K38" s="90">
        <v>266636</v>
      </c>
      <c r="L38" s="90">
        <v>238560</v>
      </c>
      <c r="M38" s="90">
        <v>220250</v>
      </c>
      <c r="N38" s="90">
        <v>208416</v>
      </c>
      <c r="O38" s="90">
        <v>196503</v>
      </c>
      <c r="P38" s="90">
        <v>184578</v>
      </c>
      <c r="Q38" s="90">
        <v>178315</v>
      </c>
      <c r="R38" s="90">
        <v>172624</v>
      </c>
      <c r="S38" s="90">
        <v>166355</v>
      </c>
      <c r="T38" s="90">
        <v>169368</v>
      </c>
      <c r="U38" s="90">
        <v>172714</v>
      </c>
      <c r="V38" s="90">
        <v>180383</v>
      </c>
      <c r="W38" s="90">
        <v>176820</v>
      </c>
      <c r="X38" s="90">
        <v>168416</v>
      </c>
      <c r="Y38" s="90">
        <v>162279</v>
      </c>
      <c r="Z38" s="90">
        <v>160894</v>
      </c>
      <c r="AA38" s="90">
        <v>168043</v>
      </c>
      <c r="AB38" s="90">
        <v>171790</v>
      </c>
      <c r="AC38" s="150"/>
      <c r="AD38" s="150"/>
      <c r="AE38" s="150"/>
      <c r="AF38" s="150"/>
    </row>
    <row r="39" spans="1:41" ht="25.5" customHeight="1">
      <c r="A39" s="168"/>
      <c r="B39" s="195" t="s">
        <v>210</v>
      </c>
      <c r="C39" s="195"/>
      <c r="D39" s="195"/>
      <c r="E39" s="195"/>
      <c r="F39" s="90">
        <v>450662</v>
      </c>
      <c r="G39" s="90">
        <v>459325</v>
      </c>
      <c r="H39" s="90">
        <v>478049</v>
      </c>
      <c r="I39" s="90">
        <v>480428</v>
      </c>
      <c r="J39" s="90">
        <v>478524</v>
      </c>
      <c r="K39" s="90">
        <v>484500</v>
      </c>
      <c r="L39" s="90">
        <v>462078</v>
      </c>
      <c r="M39" s="90">
        <v>448570</v>
      </c>
      <c r="N39" s="90">
        <v>444118</v>
      </c>
      <c r="O39" s="90">
        <v>427502</v>
      </c>
      <c r="P39" s="90">
        <v>439221</v>
      </c>
      <c r="Q39" s="90">
        <v>457340</v>
      </c>
      <c r="R39" s="90">
        <v>461437</v>
      </c>
      <c r="S39" s="90">
        <v>452024</v>
      </c>
      <c r="T39" s="90">
        <v>449872</v>
      </c>
      <c r="U39" s="90">
        <v>431985</v>
      </c>
      <c r="V39" s="90">
        <v>413205</v>
      </c>
      <c r="W39" s="90">
        <v>407493</v>
      </c>
      <c r="X39" s="90">
        <v>408096</v>
      </c>
      <c r="Y39" s="90">
        <v>406724</v>
      </c>
      <c r="Z39" s="90">
        <v>402392</v>
      </c>
      <c r="AA39" s="90">
        <v>401925</v>
      </c>
      <c r="AB39" s="90">
        <v>406315</v>
      </c>
      <c r="AC39" s="111"/>
      <c r="AD39" s="159"/>
      <c r="AE39" s="159"/>
      <c r="AF39" s="159"/>
    </row>
    <row r="40" spans="1:41" ht="24.75" customHeight="1">
      <c r="A40" s="168"/>
      <c r="B40" s="195" t="s">
        <v>161</v>
      </c>
      <c r="C40" s="195"/>
      <c r="D40" s="195"/>
      <c r="E40" s="195"/>
      <c r="F40" s="90">
        <v>361151</v>
      </c>
      <c r="G40" s="90">
        <v>369533</v>
      </c>
      <c r="H40" s="90">
        <v>387289</v>
      </c>
      <c r="I40" s="90">
        <v>399442</v>
      </c>
      <c r="J40" s="90">
        <v>415267</v>
      </c>
      <c r="K40" s="90">
        <v>435350</v>
      </c>
      <c r="L40" s="90">
        <v>441736</v>
      </c>
      <c r="M40" s="90">
        <v>448970</v>
      </c>
      <c r="N40" s="90">
        <v>458322</v>
      </c>
      <c r="O40" s="90">
        <v>506413</v>
      </c>
      <c r="P40" s="90">
        <v>467167</v>
      </c>
      <c r="Q40" s="90">
        <v>474844</v>
      </c>
      <c r="R40" s="90">
        <v>435142</v>
      </c>
      <c r="S40" s="90">
        <v>444825</v>
      </c>
      <c r="T40" s="90">
        <v>453449</v>
      </c>
      <c r="U40" s="90">
        <v>440778</v>
      </c>
      <c r="V40" s="90">
        <v>432390</v>
      </c>
      <c r="W40" s="90">
        <v>418624</v>
      </c>
      <c r="X40" s="90">
        <v>381568</v>
      </c>
      <c r="Y40" s="90">
        <v>393472</v>
      </c>
      <c r="Z40" s="90">
        <v>384794</v>
      </c>
      <c r="AA40" s="90">
        <v>379851</v>
      </c>
      <c r="AB40" s="90">
        <v>371614</v>
      </c>
      <c r="AC40" s="111"/>
      <c r="AD40" s="159"/>
      <c r="AE40" s="159"/>
      <c r="AF40" s="159"/>
    </row>
    <row r="41" spans="1:41">
      <c r="A41" s="168"/>
      <c r="B41" s="12"/>
      <c r="C41" s="12" t="s">
        <v>86</v>
      </c>
      <c r="D41" s="12"/>
      <c r="E41" s="12"/>
      <c r="F41" s="91">
        <v>107895</v>
      </c>
      <c r="G41" s="91">
        <v>114294</v>
      </c>
      <c r="H41" s="91">
        <v>123748</v>
      </c>
      <c r="I41" s="91">
        <v>128714</v>
      </c>
      <c r="J41" s="91">
        <v>129638</v>
      </c>
      <c r="K41" s="91">
        <v>132745</v>
      </c>
      <c r="L41" s="91">
        <v>131541</v>
      </c>
      <c r="M41" s="91">
        <v>134483</v>
      </c>
      <c r="N41" s="91">
        <v>142409</v>
      </c>
      <c r="O41" s="91">
        <v>146434</v>
      </c>
      <c r="P41" s="91">
        <v>110491</v>
      </c>
      <c r="Q41" s="91">
        <v>103439</v>
      </c>
      <c r="R41" s="91">
        <v>102419</v>
      </c>
      <c r="S41" s="91">
        <v>102864</v>
      </c>
      <c r="T41" s="91">
        <v>99561</v>
      </c>
      <c r="U41" s="91">
        <v>95474</v>
      </c>
      <c r="V41" s="91">
        <v>93702</v>
      </c>
      <c r="W41" s="91">
        <v>86974</v>
      </c>
      <c r="X41" s="91">
        <v>81990</v>
      </c>
      <c r="Y41" s="91">
        <v>80056</v>
      </c>
      <c r="Z41" s="91">
        <v>77189</v>
      </c>
      <c r="AA41" s="91">
        <v>72861</v>
      </c>
      <c r="AB41" s="91">
        <v>68562</v>
      </c>
    </row>
    <row r="42" spans="1:41">
      <c r="A42" s="168"/>
      <c r="B42" s="13"/>
      <c r="C42" s="13" t="s">
        <v>87</v>
      </c>
      <c r="D42" s="13"/>
      <c r="E42" s="13"/>
      <c r="F42" s="91">
        <v>253256</v>
      </c>
      <c r="G42" s="91">
        <v>255239</v>
      </c>
      <c r="H42" s="91">
        <v>263541</v>
      </c>
      <c r="I42" s="91">
        <v>270728</v>
      </c>
      <c r="J42" s="91">
        <v>285629</v>
      </c>
      <c r="K42" s="91">
        <v>302605</v>
      </c>
      <c r="L42" s="91">
        <v>310195</v>
      </c>
      <c r="M42" s="91">
        <v>314487</v>
      </c>
      <c r="N42" s="91">
        <v>315913</v>
      </c>
      <c r="O42" s="91">
        <v>359979</v>
      </c>
      <c r="P42" s="91">
        <v>356676</v>
      </c>
      <c r="Q42" s="91">
        <v>371405</v>
      </c>
      <c r="R42" s="91">
        <v>332723</v>
      </c>
      <c r="S42" s="91">
        <v>341961</v>
      </c>
      <c r="T42" s="91">
        <v>353888</v>
      </c>
      <c r="U42" s="91">
        <v>345304</v>
      </c>
      <c r="V42" s="91">
        <v>338688</v>
      </c>
      <c r="W42" s="91">
        <v>331650</v>
      </c>
      <c r="X42" s="91">
        <v>299578</v>
      </c>
      <c r="Y42" s="91">
        <v>313416</v>
      </c>
      <c r="Z42" s="91">
        <v>307605</v>
      </c>
      <c r="AA42" s="91">
        <v>306990</v>
      </c>
      <c r="AB42" s="91">
        <v>303052</v>
      </c>
    </row>
    <row r="43" spans="1:41" ht="21" customHeight="1">
      <c r="A43" s="168"/>
      <c r="B43" s="197" t="s">
        <v>171</v>
      </c>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c r="AA43" s="197"/>
      <c r="AB43" s="197"/>
    </row>
    <row r="44" spans="1:41" ht="41.25" customHeight="1">
      <c r="A44" s="168"/>
      <c r="B44" s="199" t="s">
        <v>208</v>
      </c>
      <c r="C44" s="199"/>
      <c r="D44" s="199"/>
      <c r="E44" s="199"/>
      <c r="F44" s="95">
        <v>9.1731319395890427</v>
      </c>
      <c r="G44" s="95">
        <v>8.7747244156047213</v>
      </c>
      <c r="H44" s="95">
        <v>8.5514083984674851</v>
      </c>
      <c r="I44" s="95">
        <v>8.0878343906373189</v>
      </c>
      <c r="J44" s="95">
        <v>7.9601443325988051</v>
      </c>
      <c r="K44" s="95">
        <v>7.6535817036796221</v>
      </c>
      <c r="L44" s="95">
        <v>7.4003242001395693</v>
      </c>
      <c r="M44" s="95">
        <v>6.889011782251325</v>
      </c>
      <c r="N44" s="95">
        <v>6.4749149181620949</v>
      </c>
      <c r="O44" s="95">
        <v>6.145791781894542</v>
      </c>
      <c r="P44" s="95">
        <v>5.9613360041543739</v>
      </c>
      <c r="Q44" s="95">
        <v>5.7319572405051371</v>
      </c>
      <c r="R44" s="95">
        <v>5.808819540543289</v>
      </c>
      <c r="S44" s="95">
        <v>5.9171634072446651</v>
      </c>
      <c r="T44" s="95">
        <v>6.053618504873131</v>
      </c>
      <c r="U44" s="95">
        <v>6.5045449568175462</v>
      </c>
      <c r="V44" s="95">
        <v>6.7874896533417912</v>
      </c>
      <c r="W44" s="95">
        <v>6.8501727638138581</v>
      </c>
      <c r="X44" s="95">
        <v>5.8756158203764643</v>
      </c>
      <c r="Y44" s="95">
        <v>6.2194646663303743</v>
      </c>
      <c r="Z44" s="95">
        <v>6.8430877633098852</v>
      </c>
      <c r="AA44" s="95">
        <v>7.1570965826560871</v>
      </c>
      <c r="AB44" s="95">
        <v>7.9560943993094106</v>
      </c>
    </row>
    <row r="45" spans="1:41" ht="16.5" customHeight="1">
      <c r="A45" s="168"/>
      <c r="B45" s="89" t="s">
        <v>211</v>
      </c>
      <c r="F45" s="96">
        <v>31.213247033332959</v>
      </c>
      <c r="G45" s="96">
        <v>29.477478584272422</v>
      </c>
      <c r="H45" s="96">
        <v>29.999327239387203</v>
      </c>
      <c r="I45" s="96">
        <v>29.207872319592671</v>
      </c>
      <c r="J45" s="96">
        <v>26.53248344490623</v>
      </c>
      <c r="K45" s="96">
        <v>26.261845124357393</v>
      </c>
      <c r="L45" s="96">
        <v>26.880445441030869</v>
      </c>
      <c r="M45" s="96">
        <v>25.964514398113231</v>
      </c>
      <c r="N45" s="96">
        <v>25.239764953863492</v>
      </c>
      <c r="O45" s="96">
        <v>24.286182165201488</v>
      </c>
      <c r="P45" s="96">
        <v>22.975821320886411</v>
      </c>
      <c r="Q45" s="96">
        <v>21.943818824782415</v>
      </c>
      <c r="R45" s="96">
        <v>21.2399271716688</v>
      </c>
      <c r="S45" s="96">
        <v>20.649260419453952</v>
      </c>
      <c r="T45" s="96">
        <v>20.821125725983112</v>
      </c>
      <c r="U45" s="96">
        <v>21.148217269693294</v>
      </c>
      <c r="V45" s="96">
        <v>22.502995214929374</v>
      </c>
      <c r="W45" s="96">
        <v>22.624700693708071</v>
      </c>
      <c r="X45" s="96">
        <v>21.740379497490608</v>
      </c>
      <c r="Y45" s="96">
        <v>21.115463980974631</v>
      </c>
      <c r="Z45" s="96">
        <v>20.779580008829502</v>
      </c>
      <c r="AA45" s="96">
        <v>21.418759191328654</v>
      </c>
      <c r="AB45" s="96">
        <v>21.870765493497661</v>
      </c>
    </row>
    <row r="46" spans="1:41" ht="29.25" customHeight="1">
      <c r="A46" s="168"/>
      <c r="B46" s="199" t="s">
        <v>210</v>
      </c>
      <c r="C46" s="199"/>
      <c r="D46" s="199"/>
      <c r="E46" s="199"/>
      <c r="F46" s="96">
        <v>48.939341013366146</v>
      </c>
      <c r="G46" s="96">
        <v>50.253600509693072</v>
      </c>
      <c r="H46" s="96">
        <v>49.57764795803547</v>
      </c>
      <c r="I46" s="96">
        <v>49.620322728263474</v>
      </c>
      <c r="J46" s="96">
        <v>46.239510243895651</v>
      </c>
      <c r="K46" s="96">
        <v>47.518856455683775</v>
      </c>
      <c r="L46" s="96">
        <v>50.563760002715483</v>
      </c>
      <c r="M46" s="96">
        <v>51.647808830194222</v>
      </c>
      <c r="N46" s="96">
        <v>52.908710453900035</v>
      </c>
      <c r="O46" s="96">
        <v>52.109323852057628</v>
      </c>
      <c r="P46" s="96">
        <v>54.885007688580522</v>
      </c>
      <c r="Q46" s="96">
        <v>55.966673334770178</v>
      </c>
      <c r="R46" s="96">
        <v>56.199087970285973</v>
      </c>
      <c r="S46" s="96">
        <v>55.522732367963791</v>
      </c>
      <c r="T46" s="96">
        <v>54.331381801673821</v>
      </c>
      <c r="U46" s="96">
        <v>52.435769173884182</v>
      </c>
      <c r="V46" s="96">
        <v>51.37760879337452</v>
      </c>
      <c r="W46" s="96">
        <v>51.914738077586001</v>
      </c>
      <c r="X46" s="96">
        <v>52.401150783739809</v>
      </c>
      <c r="Y46" s="96">
        <v>52.708793757567712</v>
      </c>
      <c r="Z46" s="96">
        <v>52.218823056055228</v>
      </c>
      <c r="AA46" s="96">
        <v>50.919076855720085</v>
      </c>
      <c r="AB46" s="96">
        <v>51.493942225505954</v>
      </c>
    </row>
    <row r="47" spans="1:41" ht="27" customHeight="1">
      <c r="A47" s="168"/>
      <c r="B47" s="195" t="s">
        <v>161</v>
      </c>
      <c r="C47" s="195"/>
      <c r="D47" s="195"/>
      <c r="E47" s="195"/>
      <c r="F47" s="96">
        <v>38.13161415115556</v>
      </c>
      <c r="G47" s="96">
        <v>39.30545642908578</v>
      </c>
      <c r="H47" s="96">
        <v>41.570537212215406</v>
      </c>
      <c r="I47" s="96">
        <v>42.459378020756247</v>
      </c>
      <c r="J47" s="96">
        <v>42.981997355449685</v>
      </c>
      <c r="K47" s="96">
        <v>44.425064223263746</v>
      </c>
      <c r="L47" s="96">
        <v>45.204518064399494</v>
      </c>
      <c r="M47" s="96">
        <v>46.462198872221691</v>
      </c>
      <c r="N47" s="96">
        <v>49.026553348659604</v>
      </c>
      <c r="O47" s="96">
        <v>56.958627153390125</v>
      </c>
      <c r="P47" s="96">
        <v>55.532499707785092</v>
      </c>
      <c r="Q47" s="96">
        <v>57.647037844737817</v>
      </c>
      <c r="R47" s="96">
        <v>52.831551494305366</v>
      </c>
      <c r="S47" s="96">
        <v>52.995944435103219</v>
      </c>
      <c r="T47" s="96">
        <v>52.179661951710777</v>
      </c>
      <c r="U47" s="96">
        <v>50.877723732218556</v>
      </c>
      <c r="V47" s="96">
        <v>50.445472685012703</v>
      </c>
      <c r="W47" s="96">
        <v>50.17550517951706</v>
      </c>
      <c r="X47" s="96">
        <v>46.704619731211494</v>
      </c>
      <c r="Y47" s="96">
        <v>49.327941690798738</v>
      </c>
      <c r="Z47" s="96">
        <v>48.432386476404538</v>
      </c>
      <c r="AA47" s="96">
        <v>47.175453436087125</v>
      </c>
      <c r="AB47" s="96">
        <v>46.540023313599967</v>
      </c>
    </row>
    <row r="48" spans="1:41">
      <c r="A48" s="168"/>
      <c r="B48" s="12"/>
      <c r="C48" s="12" t="s">
        <v>86</v>
      </c>
      <c r="D48" s="12"/>
      <c r="E48" s="12"/>
      <c r="F48" s="93">
        <v>10.510166716472565</v>
      </c>
      <c r="G48" s="93">
        <v>12.156905708301911</v>
      </c>
      <c r="H48" s="93">
        <v>13.282770331554039</v>
      </c>
      <c r="I48" s="93">
        <v>13.68722580827913</v>
      </c>
      <c r="J48" s="93">
        <v>13.351785179260883</v>
      </c>
      <c r="K48" s="93">
        <v>13.504635956492251</v>
      </c>
      <c r="L48" s="93">
        <v>13.495323188674524</v>
      </c>
      <c r="M48" s="93">
        <v>13.956831365606288</v>
      </c>
      <c r="N48" s="93">
        <v>15.162406166446971</v>
      </c>
      <c r="O48" s="93">
        <v>15.895660952920259</v>
      </c>
      <c r="P48" s="93">
        <v>12.471573698408726</v>
      </c>
      <c r="Q48" s="93">
        <v>11.861900990137721</v>
      </c>
      <c r="R48" s="93">
        <v>11.844803415115406</v>
      </c>
      <c r="S48" s="93">
        <v>11.817467763589429</v>
      </c>
      <c r="T48" s="93">
        <v>10.971186968459705</v>
      </c>
      <c r="U48" s="93">
        <v>10.65558645405201</v>
      </c>
      <c r="V48" s="93">
        <v>10.523359026493397</v>
      </c>
      <c r="W48" s="93">
        <v>9.9982444537704733</v>
      </c>
      <c r="X48" s="93">
        <v>9.5752339164144296</v>
      </c>
      <c r="Y48" s="93">
        <v>9.5327289447004091</v>
      </c>
      <c r="Z48" s="93">
        <v>9.0799035048692289</v>
      </c>
      <c r="AA48" s="93">
        <v>8.7125262571803752</v>
      </c>
      <c r="AB48" s="93">
        <v>8.2784838681536517</v>
      </c>
    </row>
    <row r="49" spans="1:28">
      <c r="A49" s="168"/>
      <c r="B49" s="13"/>
      <c r="C49" s="13" t="s">
        <v>87</v>
      </c>
      <c r="D49" s="13"/>
      <c r="E49" s="13"/>
      <c r="F49" s="94">
        <v>25.584307354296705</v>
      </c>
      <c r="G49" s="94">
        <v>27.14855072078387</v>
      </c>
      <c r="H49" s="94">
        <v>28.287766880661369</v>
      </c>
      <c r="I49" s="94">
        <v>28.772152212477121</v>
      </c>
      <c r="J49" s="94">
        <v>29.630212176188802</v>
      </c>
      <c r="K49" s="94">
        <v>30.920428266771495</v>
      </c>
      <c r="L49" s="94">
        <v>31.709194875724965</v>
      </c>
      <c r="M49" s="94">
        <v>32.5053675066154</v>
      </c>
      <c r="N49" s="94">
        <v>33.864147182212633</v>
      </c>
      <c r="O49" s="94">
        <v>41.062966200469866</v>
      </c>
      <c r="P49" s="94">
        <v>43.060926009376367</v>
      </c>
      <c r="Q49" s="94">
        <v>45.785136854600097</v>
      </c>
      <c r="R49" s="94">
        <v>40.986748079189958</v>
      </c>
      <c r="S49" s="94">
        <v>41.178476671513792</v>
      </c>
      <c r="T49" s="94">
        <v>41.208474983251072</v>
      </c>
      <c r="U49" s="94">
        <v>40.222137278166549</v>
      </c>
      <c r="V49" s="94">
        <v>39.922113658519308</v>
      </c>
      <c r="W49" s="94">
        <v>40.177260725746585</v>
      </c>
      <c r="X49" s="94">
        <v>37.129385814797068</v>
      </c>
      <c r="Y49" s="94">
        <v>39.795212746098329</v>
      </c>
      <c r="Z49" s="94">
        <v>39.352482971535309</v>
      </c>
      <c r="AA49" s="94">
        <v>38.462927178906753</v>
      </c>
      <c r="AB49" s="94">
        <v>38.261539445446317</v>
      </c>
    </row>
    <row r="50" spans="1:28" ht="36" customHeight="1">
      <c r="B50" s="110" t="s">
        <v>111</v>
      </c>
      <c r="C50" s="194" t="s">
        <v>183</v>
      </c>
      <c r="D50" s="194"/>
      <c r="E50" s="194"/>
      <c r="F50" s="194"/>
      <c r="G50" s="194"/>
      <c r="H50" s="194"/>
      <c r="I50" s="194"/>
      <c r="J50" s="194"/>
      <c r="K50" s="194"/>
      <c r="L50" s="194"/>
      <c r="M50" s="194"/>
      <c r="N50" s="194"/>
      <c r="O50" s="194"/>
      <c r="P50" s="194"/>
      <c r="Q50" s="194"/>
      <c r="R50" s="194"/>
      <c r="S50" s="194"/>
      <c r="T50" s="194"/>
      <c r="U50" s="194"/>
      <c r="V50" s="194"/>
      <c r="W50" s="194"/>
      <c r="X50" s="194"/>
      <c r="Y50" s="194"/>
      <c r="Z50" s="194"/>
      <c r="AA50" s="194"/>
      <c r="AB50" s="194"/>
    </row>
    <row r="51" spans="1:28">
      <c r="C51" s="184"/>
      <c r="D51" s="184"/>
      <c r="E51" s="184"/>
      <c r="F51" s="184"/>
      <c r="G51" s="184"/>
      <c r="H51" s="184"/>
      <c r="I51" s="184"/>
      <c r="J51" s="184"/>
      <c r="K51" s="184"/>
      <c r="L51" s="184"/>
      <c r="M51" s="184"/>
      <c r="N51" s="184"/>
      <c r="O51" s="184"/>
      <c r="P51" s="184"/>
      <c r="Q51" s="184"/>
      <c r="R51" s="184"/>
      <c r="S51" s="184"/>
      <c r="T51" s="184"/>
      <c r="U51" s="184"/>
      <c r="V51" s="184"/>
      <c r="W51" s="184"/>
      <c r="X51" s="184"/>
      <c r="Y51" s="184"/>
      <c r="Z51" s="184"/>
      <c r="AA51" s="184"/>
      <c r="AB51" s="184"/>
    </row>
    <row r="52" spans="1:28">
      <c r="C52" s="184"/>
      <c r="D52" s="184"/>
      <c r="E52" s="184"/>
      <c r="F52" s="184"/>
      <c r="G52" s="184"/>
      <c r="H52" s="184"/>
      <c r="I52" s="184"/>
      <c r="J52" s="184"/>
      <c r="K52" s="184"/>
      <c r="L52" s="184"/>
      <c r="M52" s="184"/>
      <c r="N52" s="184"/>
      <c r="O52" s="184"/>
      <c r="P52" s="184"/>
      <c r="Q52" s="184"/>
      <c r="R52" s="184"/>
      <c r="S52" s="184"/>
      <c r="T52" s="184"/>
      <c r="U52" s="184"/>
      <c r="V52" s="184"/>
      <c r="W52" s="184"/>
      <c r="X52" s="184"/>
      <c r="Y52" s="184"/>
      <c r="Z52" s="184"/>
      <c r="AA52" s="184"/>
      <c r="AB52" s="184"/>
    </row>
    <row r="53" spans="1:28">
      <c r="C53" s="184"/>
      <c r="D53" s="184"/>
      <c r="E53" s="184"/>
      <c r="F53" s="184"/>
      <c r="G53" s="184"/>
      <c r="H53" s="184"/>
      <c r="I53" s="184"/>
      <c r="J53" s="184"/>
      <c r="K53" s="184"/>
      <c r="L53" s="184"/>
      <c r="M53" s="184"/>
      <c r="N53" s="184"/>
      <c r="O53" s="184"/>
      <c r="P53" s="184"/>
      <c r="Q53" s="184"/>
      <c r="R53" s="184"/>
      <c r="S53" s="184"/>
      <c r="T53" s="184"/>
      <c r="U53" s="184"/>
      <c r="V53" s="184"/>
      <c r="W53" s="184"/>
      <c r="X53" s="184"/>
      <c r="Y53" s="184"/>
      <c r="Z53" s="184"/>
      <c r="AA53" s="184"/>
      <c r="AB53" s="184"/>
    </row>
  </sheetData>
  <mergeCells count="25">
    <mergeCell ref="A1:A28"/>
    <mergeCell ref="A29:A49"/>
    <mergeCell ref="B43:AB43"/>
    <mergeCell ref="B44:E44"/>
    <mergeCell ref="B46:E46"/>
    <mergeCell ref="B47:E47"/>
    <mergeCell ref="B32:E32"/>
    <mergeCell ref="B33:E33"/>
    <mergeCell ref="B36:AB36"/>
    <mergeCell ref="B38:E38"/>
    <mergeCell ref="B39:E39"/>
    <mergeCell ref="B40:E40"/>
    <mergeCell ref="B31:E31"/>
    <mergeCell ref="B1:E1"/>
    <mergeCell ref="B5:E5"/>
    <mergeCell ref="B6:AB6"/>
    <mergeCell ref="C50:AB53"/>
    <mergeCell ref="B13:E13"/>
    <mergeCell ref="B16:AB16"/>
    <mergeCell ref="B29:AB29"/>
    <mergeCell ref="B8:E8"/>
    <mergeCell ref="C9:E9"/>
    <mergeCell ref="C10:E10"/>
    <mergeCell ref="B11:E11"/>
    <mergeCell ref="B12:E12"/>
  </mergeCells>
  <printOptions verticalCentered="1"/>
  <pageMargins left="0.23622047244094491" right="0.23622047244094491" top="0.74803149606299213" bottom="0.74803149606299213" header="0.31496062992125984" footer="0.31496062992125984"/>
  <pageSetup paperSize="9" scale="97" orientation="landscape" r:id="rId1"/>
  <rowBreaks count="1" manualBreakCount="1">
    <brk id="28" max="2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26"/>
  <dimension ref="A1:V50"/>
  <sheetViews>
    <sheetView view="pageBreakPreview" topLeftCell="A32" zoomScale="120" zoomScaleNormal="120" zoomScaleSheetLayoutView="120" workbookViewId="0">
      <selection activeCell="J27" sqref="J27"/>
    </sheetView>
  </sheetViews>
  <sheetFormatPr baseColWidth="10" defaultColWidth="11.42578125" defaultRowHeight="12.75"/>
  <cols>
    <col min="1" max="1" width="2.7109375" style="3" customWidth="1"/>
    <col min="2" max="2" width="7.7109375" style="3" customWidth="1"/>
    <col min="3" max="4" width="2.7109375" style="3" customWidth="1"/>
    <col min="5" max="5" width="17.42578125" style="3" customWidth="1"/>
    <col min="6" max="21" width="6.7109375" style="3" customWidth="1"/>
    <col min="22" max="22" width="7.42578125" style="3" customWidth="1"/>
    <col min="23" max="16384" width="11.42578125" style="3"/>
  </cols>
  <sheetData>
    <row r="1" spans="1:22">
      <c r="A1" s="168">
        <v>89</v>
      </c>
      <c r="B1" s="169" t="s">
        <v>0</v>
      </c>
      <c r="C1" s="169"/>
      <c r="D1" s="169"/>
      <c r="E1" s="169"/>
    </row>
    <row r="2" spans="1:22">
      <c r="A2" s="168"/>
      <c r="B2" s="4" t="s">
        <v>88</v>
      </c>
      <c r="C2" s="4"/>
      <c r="D2" s="4" t="s">
        <v>164</v>
      </c>
      <c r="E2" s="4"/>
    </row>
    <row r="3" spans="1:22">
      <c r="A3" s="168"/>
      <c r="B3" s="5" t="s">
        <v>89</v>
      </c>
      <c r="C3" s="4"/>
      <c r="D3" s="4" t="s">
        <v>186</v>
      </c>
      <c r="E3" s="4"/>
    </row>
    <row r="4" spans="1:22" ht="10.5" customHeight="1">
      <c r="A4" s="168"/>
    </row>
    <row r="5" spans="1:22" s="7" customFormat="1">
      <c r="A5" s="168"/>
      <c r="B5" s="170" t="s">
        <v>133</v>
      </c>
      <c r="C5" s="170"/>
      <c r="D5" s="170"/>
      <c r="E5" s="170"/>
      <c r="F5" s="18" t="s">
        <v>34</v>
      </c>
      <c r="G5" s="18" t="s">
        <v>35</v>
      </c>
      <c r="H5" s="18" t="s">
        <v>36</v>
      </c>
      <c r="I5" s="18" t="s">
        <v>37</v>
      </c>
      <c r="J5" s="18" t="s">
        <v>38</v>
      </c>
      <c r="K5" s="18" t="s">
        <v>39</v>
      </c>
      <c r="L5" s="18" t="s">
        <v>40</v>
      </c>
      <c r="M5" s="18" t="s">
        <v>41</v>
      </c>
      <c r="N5" s="18" t="s">
        <v>42</v>
      </c>
      <c r="O5" s="18" t="s">
        <v>43</v>
      </c>
      <c r="P5" s="18" t="s">
        <v>44</v>
      </c>
      <c r="Q5" s="18" t="s">
        <v>45</v>
      </c>
      <c r="R5" s="18" t="s">
        <v>46</v>
      </c>
      <c r="S5" s="18" t="s">
        <v>47</v>
      </c>
      <c r="T5" s="18" t="s">
        <v>48</v>
      </c>
      <c r="U5" s="18" t="s">
        <v>49</v>
      </c>
      <c r="V5" s="18" t="s">
        <v>50</v>
      </c>
    </row>
    <row r="6" spans="1:22" ht="19.5" customHeight="1">
      <c r="A6" s="168"/>
      <c r="B6" s="196" t="s">
        <v>168</v>
      </c>
      <c r="C6" s="196"/>
      <c r="D6" s="196"/>
      <c r="E6" s="196"/>
      <c r="F6" s="196"/>
      <c r="G6" s="196"/>
      <c r="H6" s="196"/>
      <c r="I6" s="196"/>
      <c r="J6" s="196"/>
      <c r="K6" s="196"/>
      <c r="L6" s="196"/>
      <c r="M6" s="196"/>
      <c r="N6" s="196"/>
      <c r="O6" s="196"/>
      <c r="P6" s="196"/>
      <c r="Q6" s="196"/>
      <c r="R6" s="196"/>
      <c r="S6" s="196"/>
      <c r="T6" s="196"/>
      <c r="U6" s="196"/>
      <c r="V6" s="196"/>
    </row>
    <row r="7" spans="1:22">
      <c r="A7" s="168"/>
      <c r="B7" s="84" t="s">
        <v>83</v>
      </c>
      <c r="C7" s="84"/>
      <c r="D7" s="84"/>
      <c r="E7" s="84"/>
      <c r="F7" s="58">
        <v>101880</v>
      </c>
      <c r="G7" s="58">
        <v>123346</v>
      </c>
      <c r="H7" s="58">
        <v>33396</v>
      </c>
      <c r="I7" s="58">
        <v>23090</v>
      </c>
      <c r="J7" s="58">
        <v>6974</v>
      </c>
      <c r="K7" s="58">
        <v>17330</v>
      </c>
      <c r="L7" s="58">
        <v>61050</v>
      </c>
      <c r="M7" s="58">
        <v>14049</v>
      </c>
      <c r="N7" s="58">
        <v>79489</v>
      </c>
      <c r="O7" s="58">
        <v>184356</v>
      </c>
      <c r="P7" s="58">
        <v>38554</v>
      </c>
      <c r="Q7" s="58">
        <v>9867</v>
      </c>
      <c r="R7" s="58">
        <v>33635</v>
      </c>
      <c r="S7" s="58">
        <v>19305</v>
      </c>
      <c r="T7" s="58">
        <v>26852</v>
      </c>
      <c r="U7" s="58">
        <v>18490</v>
      </c>
      <c r="V7" s="58">
        <v>791663</v>
      </c>
    </row>
    <row r="8" spans="1:22" ht="39" customHeight="1">
      <c r="A8" s="168"/>
      <c r="B8" s="195" t="s">
        <v>204</v>
      </c>
      <c r="C8" s="195"/>
      <c r="D8" s="195"/>
      <c r="E8" s="195"/>
      <c r="F8" s="90">
        <v>7531</v>
      </c>
      <c r="G8" s="90">
        <v>7401</v>
      </c>
      <c r="H8" s="90">
        <v>3193</v>
      </c>
      <c r="I8" s="90">
        <v>1897</v>
      </c>
      <c r="J8" s="90">
        <v>729</v>
      </c>
      <c r="K8" s="90">
        <v>1110</v>
      </c>
      <c r="L8" s="90">
        <v>3701</v>
      </c>
      <c r="M8" s="90">
        <v>1413</v>
      </c>
      <c r="N8" s="90">
        <v>6883</v>
      </c>
      <c r="O8" s="90">
        <v>13482</v>
      </c>
      <c r="P8" s="90">
        <v>3375</v>
      </c>
      <c r="Q8" s="90">
        <v>911</v>
      </c>
      <c r="R8" s="90">
        <v>3075</v>
      </c>
      <c r="S8" s="90">
        <v>2712</v>
      </c>
      <c r="T8" s="90">
        <v>2713</v>
      </c>
      <c r="U8" s="90">
        <v>1909</v>
      </c>
      <c r="V8" s="90">
        <v>62035</v>
      </c>
    </row>
    <row r="9" spans="1:22" ht="38.25" customHeight="1">
      <c r="A9" s="168"/>
      <c r="B9" s="84"/>
      <c r="C9" s="198" t="s">
        <v>84</v>
      </c>
      <c r="D9" s="198"/>
      <c r="E9" s="198"/>
      <c r="F9" s="91">
        <v>2938</v>
      </c>
      <c r="G9" s="91">
        <v>2590</v>
      </c>
      <c r="H9" s="91">
        <v>400</v>
      </c>
      <c r="I9" s="91">
        <v>857</v>
      </c>
      <c r="J9" s="91">
        <v>7</v>
      </c>
      <c r="K9" s="91">
        <v>229</v>
      </c>
      <c r="L9" s="91">
        <v>1275</v>
      </c>
      <c r="M9" s="91">
        <v>624</v>
      </c>
      <c r="N9" s="91">
        <v>1399</v>
      </c>
      <c r="O9" s="91">
        <v>3778</v>
      </c>
      <c r="P9" s="91">
        <v>1225</v>
      </c>
      <c r="Q9" s="91">
        <v>167</v>
      </c>
      <c r="R9" s="91">
        <v>1271</v>
      </c>
      <c r="S9" s="91">
        <v>1032</v>
      </c>
      <c r="T9" s="91">
        <v>619</v>
      </c>
      <c r="U9" s="91">
        <v>469</v>
      </c>
      <c r="V9" s="91">
        <v>18880</v>
      </c>
    </row>
    <row r="10" spans="1:22" ht="26.25" customHeight="1">
      <c r="A10" s="168"/>
      <c r="B10" s="83"/>
      <c r="C10" s="198" t="s">
        <v>85</v>
      </c>
      <c r="D10" s="198"/>
      <c r="E10" s="198"/>
      <c r="F10" s="91">
        <v>862</v>
      </c>
      <c r="G10" s="91">
        <v>622</v>
      </c>
      <c r="H10" s="91">
        <v>64</v>
      </c>
      <c r="I10" s="91">
        <v>12</v>
      </c>
      <c r="J10" s="91">
        <v>24</v>
      </c>
      <c r="K10" s="91">
        <v>165</v>
      </c>
      <c r="L10" s="91">
        <v>221</v>
      </c>
      <c r="M10" s="91">
        <v>64</v>
      </c>
      <c r="N10" s="91">
        <v>378</v>
      </c>
      <c r="O10" s="91">
        <v>1861</v>
      </c>
      <c r="P10" s="91">
        <v>245</v>
      </c>
      <c r="Q10" s="91">
        <v>79</v>
      </c>
      <c r="R10" s="91">
        <v>333</v>
      </c>
      <c r="S10" s="91">
        <v>81</v>
      </c>
      <c r="T10" s="91">
        <v>40</v>
      </c>
      <c r="U10" s="91">
        <v>52</v>
      </c>
      <c r="V10" s="91">
        <v>5103</v>
      </c>
    </row>
    <row r="11" spans="1:22" ht="39.75" customHeight="1">
      <c r="A11" s="168"/>
      <c r="B11" s="195" t="s">
        <v>205</v>
      </c>
      <c r="C11" s="195"/>
      <c r="D11" s="195"/>
      <c r="E11" s="195"/>
      <c r="F11" s="90">
        <v>16207</v>
      </c>
      <c r="G11" s="90">
        <v>25792</v>
      </c>
      <c r="H11" s="90">
        <v>4823</v>
      </c>
      <c r="I11" s="90">
        <v>3284</v>
      </c>
      <c r="J11" s="90">
        <v>1771</v>
      </c>
      <c r="K11" s="90">
        <v>2964</v>
      </c>
      <c r="L11" s="90">
        <v>9517</v>
      </c>
      <c r="M11" s="90">
        <v>1829</v>
      </c>
      <c r="N11" s="90">
        <v>11381</v>
      </c>
      <c r="O11" s="90">
        <v>28835</v>
      </c>
      <c r="P11" s="90">
        <v>6570</v>
      </c>
      <c r="Q11" s="90">
        <v>2673</v>
      </c>
      <c r="R11" s="90">
        <v>3146</v>
      </c>
      <c r="S11" s="90">
        <v>2202</v>
      </c>
      <c r="T11" s="90">
        <v>5149</v>
      </c>
      <c r="U11" s="90">
        <v>3146</v>
      </c>
      <c r="V11" s="90">
        <v>129289</v>
      </c>
    </row>
    <row r="12" spans="1:22" ht="25.5" customHeight="1">
      <c r="A12" s="168"/>
      <c r="B12" s="195" t="s">
        <v>160</v>
      </c>
      <c r="C12" s="195"/>
      <c r="D12" s="195"/>
      <c r="E12" s="195"/>
      <c r="F12" s="90">
        <v>48966</v>
      </c>
      <c r="G12" s="90">
        <v>56605</v>
      </c>
      <c r="H12" s="90">
        <v>11451</v>
      </c>
      <c r="I12" s="90">
        <v>9361</v>
      </c>
      <c r="J12" s="90">
        <v>2146</v>
      </c>
      <c r="K12" s="90">
        <v>4130</v>
      </c>
      <c r="L12" s="90">
        <v>28859</v>
      </c>
      <c r="M12" s="90">
        <v>6483</v>
      </c>
      <c r="N12" s="90">
        <v>36499</v>
      </c>
      <c r="O12" s="90">
        <v>73319</v>
      </c>
      <c r="P12" s="90">
        <v>15751</v>
      </c>
      <c r="Q12" s="90">
        <v>3231</v>
      </c>
      <c r="R12" s="90">
        <v>17683</v>
      </c>
      <c r="S12" s="90">
        <v>9612</v>
      </c>
      <c r="T12" s="90">
        <v>9609</v>
      </c>
      <c r="U12" s="90">
        <v>8418</v>
      </c>
      <c r="V12" s="90">
        <v>342123</v>
      </c>
    </row>
    <row r="13" spans="1:22" ht="27" customHeight="1">
      <c r="A13" s="168"/>
      <c r="B13" s="195" t="s">
        <v>161</v>
      </c>
      <c r="C13" s="195"/>
      <c r="D13" s="195"/>
      <c r="E13" s="195"/>
      <c r="F13" s="90">
        <v>29176</v>
      </c>
      <c r="G13" s="90">
        <v>33548</v>
      </c>
      <c r="H13" s="90">
        <v>13929</v>
      </c>
      <c r="I13" s="90">
        <v>8548</v>
      </c>
      <c r="J13" s="90">
        <v>2328</v>
      </c>
      <c r="K13" s="90">
        <v>9126</v>
      </c>
      <c r="L13" s="90">
        <v>18973</v>
      </c>
      <c r="M13" s="90">
        <v>4324</v>
      </c>
      <c r="N13" s="90">
        <v>24726</v>
      </c>
      <c r="O13" s="90">
        <v>68720</v>
      </c>
      <c r="P13" s="90">
        <v>12858</v>
      </c>
      <c r="Q13" s="90">
        <v>3052</v>
      </c>
      <c r="R13" s="90">
        <v>9731</v>
      </c>
      <c r="S13" s="90">
        <v>4779</v>
      </c>
      <c r="T13" s="90">
        <v>9381</v>
      </c>
      <c r="U13" s="90">
        <v>5017</v>
      </c>
      <c r="V13" s="90">
        <v>258216</v>
      </c>
    </row>
    <row r="14" spans="1:22">
      <c r="A14" s="168"/>
      <c r="B14" s="83"/>
      <c r="C14" s="83" t="s">
        <v>86</v>
      </c>
      <c r="D14" s="83"/>
      <c r="E14" s="83"/>
      <c r="F14" s="91">
        <v>367</v>
      </c>
      <c r="G14" s="91">
        <v>0</v>
      </c>
      <c r="H14" s="91">
        <v>0</v>
      </c>
      <c r="I14" s="91">
        <v>28</v>
      </c>
      <c r="J14" s="91">
        <v>0</v>
      </c>
      <c r="K14" s="91">
        <v>0</v>
      </c>
      <c r="L14" s="91">
        <v>123</v>
      </c>
      <c r="M14" s="91">
        <v>0</v>
      </c>
      <c r="N14" s="91">
        <v>0</v>
      </c>
      <c r="O14" s="91">
        <v>61</v>
      </c>
      <c r="P14" s="91">
        <v>0</v>
      </c>
      <c r="Q14" s="91">
        <v>0</v>
      </c>
      <c r="R14" s="91">
        <v>0</v>
      </c>
      <c r="S14" s="91">
        <v>0</v>
      </c>
      <c r="T14" s="91">
        <v>0</v>
      </c>
      <c r="U14" s="91">
        <v>0</v>
      </c>
      <c r="V14" s="91">
        <v>579</v>
      </c>
    </row>
    <row r="15" spans="1:22">
      <c r="A15" s="168"/>
      <c r="B15" s="85"/>
      <c r="C15" s="86" t="s">
        <v>87</v>
      </c>
      <c r="D15" s="85"/>
      <c r="E15" s="85"/>
      <c r="F15" s="92">
        <v>28809</v>
      </c>
      <c r="G15" s="92">
        <v>33548</v>
      </c>
      <c r="H15" s="92">
        <v>13929</v>
      </c>
      <c r="I15" s="92">
        <v>8520</v>
      </c>
      <c r="J15" s="92">
        <v>2328</v>
      </c>
      <c r="K15" s="92">
        <v>9126</v>
      </c>
      <c r="L15" s="92">
        <v>18850</v>
      </c>
      <c r="M15" s="92">
        <v>4324</v>
      </c>
      <c r="N15" s="92">
        <v>24726</v>
      </c>
      <c r="O15" s="92">
        <v>68659</v>
      </c>
      <c r="P15" s="92">
        <v>12858</v>
      </c>
      <c r="Q15" s="92">
        <v>3052</v>
      </c>
      <c r="R15" s="92">
        <v>9731</v>
      </c>
      <c r="S15" s="92">
        <v>4779</v>
      </c>
      <c r="T15" s="92">
        <v>9381</v>
      </c>
      <c r="U15" s="92">
        <v>5017</v>
      </c>
      <c r="V15" s="92">
        <v>257637</v>
      </c>
    </row>
    <row r="16" spans="1:22" ht="21" customHeight="1">
      <c r="A16" s="168"/>
      <c r="B16" s="196" t="s">
        <v>167</v>
      </c>
      <c r="C16" s="196"/>
      <c r="D16" s="196"/>
      <c r="E16" s="196"/>
      <c r="F16" s="196"/>
      <c r="G16" s="196"/>
      <c r="H16" s="196"/>
      <c r="I16" s="196"/>
      <c r="J16" s="196"/>
      <c r="K16" s="196"/>
      <c r="L16" s="196"/>
      <c r="M16" s="196"/>
      <c r="N16" s="196"/>
      <c r="O16" s="196"/>
      <c r="P16" s="196"/>
      <c r="Q16" s="196"/>
      <c r="R16" s="196"/>
      <c r="S16" s="196"/>
      <c r="T16" s="196"/>
      <c r="U16" s="196"/>
      <c r="V16" s="196"/>
    </row>
    <row r="17" spans="1:22" ht="21" customHeight="1">
      <c r="A17" s="168"/>
      <c r="B17" s="87" t="s">
        <v>83</v>
      </c>
      <c r="C17" s="87"/>
      <c r="D17" s="87"/>
      <c r="E17" s="87"/>
      <c r="F17" s="88">
        <v>157828</v>
      </c>
      <c r="G17" s="88">
        <v>122201</v>
      </c>
      <c r="H17" s="88">
        <v>25511</v>
      </c>
      <c r="I17" s="88">
        <v>15471</v>
      </c>
      <c r="J17" s="88">
        <v>8817</v>
      </c>
      <c r="K17" s="88">
        <v>16711</v>
      </c>
      <c r="L17" s="88">
        <v>49932</v>
      </c>
      <c r="M17" s="88">
        <v>11070</v>
      </c>
      <c r="N17" s="88">
        <v>90349</v>
      </c>
      <c r="O17" s="88">
        <v>228969</v>
      </c>
      <c r="P17" s="88">
        <v>37884</v>
      </c>
      <c r="Q17" s="88">
        <v>9358</v>
      </c>
      <c r="R17" s="88">
        <v>33942</v>
      </c>
      <c r="S17" s="88">
        <v>15861</v>
      </c>
      <c r="T17" s="88">
        <v>30457</v>
      </c>
      <c r="U17" s="88">
        <v>16006</v>
      </c>
      <c r="V17" s="88">
        <v>870367</v>
      </c>
    </row>
    <row r="18" spans="1:22">
      <c r="A18" s="168"/>
      <c r="B18" s="12"/>
      <c r="C18" s="12" t="s">
        <v>21</v>
      </c>
      <c r="D18" s="12"/>
      <c r="E18" s="12"/>
      <c r="F18" s="56">
        <v>69888</v>
      </c>
      <c r="G18" s="56">
        <v>79562</v>
      </c>
      <c r="H18" s="56">
        <v>15862</v>
      </c>
      <c r="I18" s="56">
        <v>8758</v>
      </c>
      <c r="J18" s="56">
        <v>6300</v>
      </c>
      <c r="K18" s="56">
        <v>12939</v>
      </c>
      <c r="L18" s="56">
        <v>28918</v>
      </c>
      <c r="M18" s="56">
        <v>7161</v>
      </c>
      <c r="N18" s="56">
        <v>49990</v>
      </c>
      <c r="O18" s="56">
        <v>136187</v>
      </c>
      <c r="P18" s="56">
        <v>20527</v>
      </c>
      <c r="Q18" s="56">
        <v>5802</v>
      </c>
      <c r="R18" s="56">
        <v>19063</v>
      </c>
      <c r="S18" s="56">
        <v>10134</v>
      </c>
      <c r="T18" s="56">
        <v>20962</v>
      </c>
      <c r="U18" s="56">
        <v>9099</v>
      </c>
      <c r="V18" s="56">
        <v>501152</v>
      </c>
    </row>
    <row r="19" spans="1:22">
      <c r="A19" s="168"/>
      <c r="B19" s="12"/>
      <c r="C19" s="12"/>
      <c r="D19" s="12" t="s">
        <v>91</v>
      </c>
      <c r="E19" s="12"/>
      <c r="F19" s="56">
        <v>58026</v>
      </c>
      <c r="G19" s="56">
        <v>65425</v>
      </c>
      <c r="H19" s="56">
        <v>11702</v>
      </c>
      <c r="I19" s="56">
        <v>8758</v>
      </c>
      <c r="J19" s="56">
        <v>4343</v>
      </c>
      <c r="K19" s="56">
        <v>9717</v>
      </c>
      <c r="L19" s="56">
        <v>26978</v>
      </c>
      <c r="M19" s="56">
        <v>5832</v>
      </c>
      <c r="N19" s="56">
        <v>38048</v>
      </c>
      <c r="O19" s="56">
        <v>114013</v>
      </c>
      <c r="P19" s="56">
        <v>16641</v>
      </c>
      <c r="Q19" s="56">
        <v>4528</v>
      </c>
      <c r="R19" s="56">
        <v>14992</v>
      </c>
      <c r="S19" s="56">
        <v>7341</v>
      </c>
      <c r="T19" s="56">
        <v>13571</v>
      </c>
      <c r="U19" s="56">
        <v>7672</v>
      </c>
      <c r="V19" s="56">
        <v>407587</v>
      </c>
    </row>
    <row r="20" spans="1:22">
      <c r="A20" s="168"/>
      <c r="B20" s="12"/>
      <c r="C20" s="12"/>
      <c r="D20" s="12" t="s">
        <v>23</v>
      </c>
      <c r="E20" s="12"/>
      <c r="F20" s="56">
        <v>11580</v>
      </c>
      <c r="G20" s="56">
        <v>11746</v>
      </c>
      <c r="H20" s="56">
        <v>4160</v>
      </c>
      <c r="I20" s="56">
        <v>0</v>
      </c>
      <c r="J20" s="56">
        <v>1957</v>
      </c>
      <c r="K20" s="56">
        <v>3222</v>
      </c>
      <c r="L20" s="56">
        <v>1940</v>
      </c>
      <c r="M20" s="56">
        <v>1329</v>
      </c>
      <c r="N20" s="56">
        <v>11942</v>
      </c>
      <c r="O20" s="56">
        <v>22174</v>
      </c>
      <c r="P20" s="56">
        <v>3886</v>
      </c>
      <c r="Q20" s="56">
        <v>1274</v>
      </c>
      <c r="R20" s="56">
        <v>3465</v>
      </c>
      <c r="S20" s="56">
        <v>2793</v>
      </c>
      <c r="T20" s="56">
        <v>7276</v>
      </c>
      <c r="U20" s="56">
        <v>1427</v>
      </c>
      <c r="V20" s="56">
        <v>90171</v>
      </c>
    </row>
    <row r="21" spans="1:22">
      <c r="A21" s="168"/>
      <c r="B21" s="12"/>
      <c r="C21" s="12"/>
      <c r="D21" s="12" t="s">
        <v>24</v>
      </c>
      <c r="E21" s="12"/>
      <c r="F21" s="56">
        <v>282</v>
      </c>
      <c r="G21" s="56">
        <v>2391</v>
      </c>
      <c r="H21" s="56">
        <v>0</v>
      </c>
      <c r="I21" s="56">
        <v>0</v>
      </c>
      <c r="J21" s="56">
        <v>0</v>
      </c>
      <c r="K21" s="56">
        <v>0</v>
      </c>
      <c r="L21" s="56">
        <v>0</v>
      </c>
      <c r="M21" s="56">
        <v>0</v>
      </c>
      <c r="N21" s="56">
        <v>0</v>
      </c>
      <c r="O21" s="56">
        <v>0</v>
      </c>
      <c r="P21" s="56">
        <v>0</v>
      </c>
      <c r="Q21" s="56">
        <v>0</v>
      </c>
      <c r="R21" s="56">
        <v>606</v>
      </c>
      <c r="S21" s="56">
        <v>0</v>
      </c>
      <c r="T21" s="56">
        <v>115</v>
      </c>
      <c r="U21" s="56">
        <v>0</v>
      </c>
      <c r="V21" s="56">
        <v>3394</v>
      </c>
    </row>
    <row r="22" spans="1:22">
      <c r="A22" s="168"/>
      <c r="B22" s="12"/>
      <c r="C22" s="12" t="s">
        <v>25</v>
      </c>
      <c r="D22" s="12"/>
      <c r="E22" s="12"/>
      <c r="F22" s="56">
        <v>0</v>
      </c>
      <c r="G22" s="56">
        <v>0</v>
      </c>
      <c r="H22" s="56">
        <v>0</v>
      </c>
      <c r="I22" s="56">
        <v>0</v>
      </c>
      <c r="J22" s="56">
        <v>0</v>
      </c>
      <c r="K22" s="56">
        <v>0</v>
      </c>
      <c r="L22" s="56">
        <v>0</v>
      </c>
      <c r="M22" s="56">
        <v>0</v>
      </c>
      <c r="N22" s="56">
        <v>0</v>
      </c>
      <c r="O22" s="56">
        <v>0</v>
      </c>
      <c r="P22" s="56">
        <v>0</v>
      </c>
      <c r="Q22" s="56">
        <v>0</v>
      </c>
      <c r="R22" s="56">
        <v>0</v>
      </c>
      <c r="S22" s="56">
        <v>0</v>
      </c>
      <c r="T22" s="56">
        <v>0</v>
      </c>
      <c r="U22" s="56">
        <v>0</v>
      </c>
      <c r="V22" s="56">
        <v>0</v>
      </c>
    </row>
    <row r="23" spans="1:22">
      <c r="A23" s="168"/>
      <c r="B23" s="12"/>
      <c r="C23" s="12" t="s">
        <v>26</v>
      </c>
      <c r="D23" s="12"/>
      <c r="E23" s="12"/>
      <c r="F23" s="56">
        <v>59979</v>
      </c>
      <c r="G23" s="56">
        <v>5438</v>
      </c>
      <c r="H23" s="56">
        <v>3482</v>
      </c>
      <c r="I23" s="56">
        <v>2340</v>
      </c>
      <c r="J23" s="56">
        <v>1224</v>
      </c>
      <c r="K23" s="56">
        <v>1599</v>
      </c>
      <c r="L23" s="56">
        <v>6511</v>
      </c>
      <c r="M23" s="56">
        <v>2549</v>
      </c>
      <c r="N23" s="56">
        <v>23077</v>
      </c>
      <c r="O23" s="56">
        <v>53360</v>
      </c>
      <c r="P23" s="56">
        <v>10311</v>
      </c>
      <c r="Q23" s="56">
        <v>1302</v>
      </c>
      <c r="R23" s="56">
        <v>6755</v>
      </c>
      <c r="S23" s="56">
        <v>2865</v>
      </c>
      <c r="T23" s="56">
        <v>4542</v>
      </c>
      <c r="U23" s="56">
        <v>4063</v>
      </c>
      <c r="V23" s="56">
        <v>189397</v>
      </c>
    </row>
    <row r="24" spans="1:22">
      <c r="A24" s="168"/>
      <c r="B24" s="12"/>
      <c r="C24" s="12" t="s">
        <v>27</v>
      </c>
      <c r="D24" s="12"/>
      <c r="E24" s="12"/>
      <c r="F24" s="56">
        <v>338</v>
      </c>
      <c r="G24" s="56"/>
      <c r="H24" s="56">
        <v>204</v>
      </c>
      <c r="I24" s="56">
        <v>0</v>
      </c>
      <c r="J24" s="56">
        <v>32</v>
      </c>
      <c r="K24" s="56">
        <v>157</v>
      </c>
      <c r="L24" s="56">
        <v>0</v>
      </c>
      <c r="M24" s="56">
        <v>0</v>
      </c>
      <c r="N24" s="56">
        <v>23</v>
      </c>
      <c r="O24" s="56">
        <v>0</v>
      </c>
      <c r="P24" s="56">
        <v>653</v>
      </c>
      <c r="Q24" s="56">
        <v>0</v>
      </c>
      <c r="R24" s="56">
        <v>0</v>
      </c>
      <c r="S24" s="56">
        <v>0</v>
      </c>
      <c r="T24" s="56">
        <v>358</v>
      </c>
      <c r="U24" s="56">
        <v>0</v>
      </c>
      <c r="V24" s="56">
        <v>5512</v>
      </c>
    </row>
    <row r="25" spans="1:22">
      <c r="A25" s="168"/>
      <c r="B25" s="12"/>
      <c r="C25" s="12" t="s">
        <v>28</v>
      </c>
      <c r="D25" s="12"/>
      <c r="E25" s="12"/>
      <c r="F25" s="56">
        <v>19981</v>
      </c>
      <c r="G25" s="56">
        <v>0</v>
      </c>
      <c r="H25" s="56">
        <v>964</v>
      </c>
      <c r="I25" s="56">
        <v>1553</v>
      </c>
      <c r="J25" s="56">
        <v>250</v>
      </c>
      <c r="K25" s="56">
        <v>253</v>
      </c>
      <c r="L25" s="56">
        <v>3746</v>
      </c>
      <c r="M25" s="56">
        <v>588</v>
      </c>
      <c r="N25" s="56">
        <v>5242</v>
      </c>
      <c r="O25" s="56">
        <v>10861</v>
      </c>
      <c r="P25" s="56">
        <v>1892</v>
      </c>
      <c r="Q25" s="56">
        <v>310</v>
      </c>
      <c r="R25" s="56">
        <v>2510</v>
      </c>
      <c r="S25" s="56">
        <v>495</v>
      </c>
      <c r="T25" s="56">
        <v>2135</v>
      </c>
      <c r="U25" s="56">
        <v>931</v>
      </c>
      <c r="V25" s="56">
        <v>51711</v>
      </c>
    </row>
    <row r="26" spans="1:22">
      <c r="A26" s="168"/>
      <c r="B26" s="12"/>
      <c r="C26" s="12" t="s">
        <v>29</v>
      </c>
      <c r="D26" s="12"/>
      <c r="E26" s="12"/>
      <c r="F26" s="56">
        <v>0</v>
      </c>
      <c r="G26" s="56">
        <v>22260</v>
      </c>
      <c r="H26" s="56">
        <v>1476</v>
      </c>
      <c r="I26" s="56">
        <v>1147</v>
      </c>
      <c r="J26" s="56">
        <v>400</v>
      </c>
      <c r="K26" s="56">
        <v>227</v>
      </c>
      <c r="L26" s="56">
        <v>6789</v>
      </c>
      <c r="M26" s="56">
        <v>12</v>
      </c>
      <c r="N26" s="56">
        <v>6476</v>
      </c>
      <c r="O26" s="56">
        <v>12523</v>
      </c>
      <c r="P26" s="56">
        <v>805</v>
      </c>
      <c r="Q26" s="56">
        <v>1239</v>
      </c>
      <c r="R26" s="56">
        <v>2483</v>
      </c>
      <c r="S26" s="56">
        <v>996</v>
      </c>
      <c r="T26" s="56">
        <v>269</v>
      </c>
      <c r="U26" s="56">
        <v>561</v>
      </c>
      <c r="V26" s="56">
        <v>57663</v>
      </c>
    </row>
    <row r="27" spans="1:22">
      <c r="A27" s="168"/>
      <c r="B27" s="12"/>
      <c r="C27" s="12" t="s">
        <v>30</v>
      </c>
      <c r="D27" s="12"/>
      <c r="E27" s="12"/>
      <c r="F27" s="56">
        <v>7642</v>
      </c>
      <c r="G27" s="56">
        <v>5969</v>
      </c>
      <c r="H27" s="56">
        <v>3523</v>
      </c>
      <c r="I27" s="56">
        <v>1673</v>
      </c>
      <c r="J27" s="56">
        <v>611</v>
      </c>
      <c r="K27" s="56">
        <v>1536</v>
      </c>
      <c r="L27" s="56">
        <v>3968</v>
      </c>
      <c r="M27" s="56">
        <v>760</v>
      </c>
      <c r="N27" s="56">
        <v>5541</v>
      </c>
      <c r="O27" s="56">
        <v>16038</v>
      </c>
      <c r="P27" s="56">
        <v>3696</v>
      </c>
      <c r="Q27" s="56">
        <v>705</v>
      </c>
      <c r="R27" s="56">
        <v>3131</v>
      </c>
      <c r="S27" s="56">
        <v>1371</v>
      </c>
      <c r="T27" s="56">
        <v>2191</v>
      </c>
      <c r="U27" s="56">
        <v>1352</v>
      </c>
      <c r="V27" s="56">
        <v>59707</v>
      </c>
    </row>
    <row r="28" spans="1:22">
      <c r="A28" s="168"/>
      <c r="B28" s="13"/>
      <c r="C28" s="13" t="s">
        <v>31</v>
      </c>
      <c r="D28" s="13"/>
      <c r="E28" s="13"/>
      <c r="F28" s="63">
        <v>0</v>
      </c>
      <c r="G28" s="63">
        <v>5225</v>
      </c>
      <c r="H28" s="63">
        <v>0</v>
      </c>
      <c r="I28" s="63">
        <v>0</v>
      </c>
      <c r="J28" s="63">
        <v>0</v>
      </c>
      <c r="K28" s="63">
        <v>0</v>
      </c>
      <c r="L28" s="63">
        <v>0</v>
      </c>
      <c r="M28" s="63">
        <v>0</v>
      </c>
      <c r="N28" s="63">
        <v>0</v>
      </c>
      <c r="O28" s="63">
        <v>0</v>
      </c>
      <c r="P28" s="63">
        <v>0</v>
      </c>
      <c r="Q28" s="63">
        <v>0</v>
      </c>
      <c r="R28" s="63">
        <v>0</v>
      </c>
      <c r="S28" s="63">
        <v>0</v>
      </c>
      <c r="T28" s="63">
        <v>0</v>
      </c>
      <c r="U28" s="63">
        <v>0</v>
      </c>
      <c r="V28" s="63">
        <v>5225</v>
      </c>
    </row>
    <row r="29" spans="1:22" ht="19.5" customHeight="1">
      <c r="A29" s="168">
        <v>90</v>
      </c>
      <c r="B29" s="197" t="s">
        <v>169</v>
      </c>
      <c r="C29" s="197"/>
      <c r="D29" s="197"/>
      <c r="E29" s="197"/>
      <c r="F29" s="197"/>
      <c r="G29" s="197"/>
      <c r="H29" s="197"/>
      <c r="I29" s="197"/>
      <c r="J29" s="197"/>
      <c r="K29" s="197"/>
      <c r="L29" s="197"/>
      <c r="M29" s="197"/>
      <c r="N29" s="197"/>
      <c r="O29" s="197"/>
      <c r="P29" s="197"/>
      <c r="Q29" s="197"/>
      <c r="R29" s="197"/>
      <c r="S29" s="197"/>
      <c r="T29" s="197"/>
      <c r="U29" s="197"/>
      <c r="V29" s="197"/>
    </row>
    <row r="30" spans="1:22">
      <c r="A30" s="168"/>
      <c r="B30" s="84" t="s">
        <v>83</v>
      </c>
      <c r="C30" s="12"/>
      <c r="D30" s="12"/>
      <c r="E30" s="12"/>
      <c r="F30" s="88">
        <v>39025</v>
      </c>
      <c r="G30" s="88">
        <v>32678</v>
      </c>
      <c r="H30" s="88">
        <v>6176</v>
      </c>
      <c r="I30" s="88">
        <v>4032</v>
      </c>
      <c r="J30" s="88">
        <v>1675</v>
      </c>
      <c r="K30" s="88">
        <v>3314</v>
      </c>
      <c r="L30" s="88">
        <v>14219</v>
      </c>
      <c r="M30" s="88">
        <v>1521</v>
      </c>
      <c r="N30" s="88">
        <v>30676</v>
      </c>
      <c r="O30" s="88">
        <v>52677</v>
      </c>
      <c r="P30" s="88">
        <v>8653</v>
      </c>
      <c r="Q30" s="88">
        <v>3225</v>
      </c>
      <c r="R30" s="88">
        <v>7115</v>
      </c>
      <c r="S30" s="88">
        <v>4158</v>
      </c>
      <c r="T30" s="88">
        <v>7779</v>
      </c>
      <c r="U30" s="88">
        <v>3168</v>
      </c>
      <c r="V30" s="88">
        <v>220091</v>
      </c>
    </row>
    <row r="31" spans="1:22" ht="19.5" customHeight="1">
      <c r="A31" s="168"/>
      <c r="B31" s="195" t="s">
        <v>206</v>
      </c>
      <c r="C31" s="195"/>
      <c r="D31" s="195"/>
      <c r="E31" s="195"/>
      <c r="F31" s="90">
        <v>6158</v>
      </c>
      <c r="G31" s="90">
        <v>4199</v>
      </c>
      <c r="H31" s="90">
        <v>1357</v>
      </c>
      <c r="I31" s="90">
        <v>1090</v>
      </c>
      <c r="J31" s="90">
        <v>528</v>
      </c>
      <c r="K31" s="90">
        <v>996</v>
      </c>
      <c r="L31" s="90">
        <v>1673</v>
      </c>
      <c r="M31" s="90">
        <v>468</v>
      </c>
      <c r="N31" s="90">
        <v>3517</v>
      </c>
      <c r="O31" s="90">
        <v>15697</v>
      </c>
      <c r="P31" s="90">
        <v>1684</v>
      </c>
      <c r="Q31" s="90">
        <v>525</v>
      </c>
      <c r="R31" s="90">
        <v>1730</v>
      </c>
      <c r="S31" s="90">
        <v>756</v>
      </c>
      <c r="T31" s="90">
        <v>1650</v>
      </c>
      <c r="U31" s="90">
        <v>473</v>
      </c>
      <c r="V31" s="90">
        <v>42501</v>
      </c>
    </row>
    <row r="32" spans="1:22" ht="27" customHeight="1">
      <c r="A32" s="168"/>
      <c r="B32" s="195" t="s">
        <v>160</v>
      </c>
      <c r="C32" s="195"/>
      <c r="D32" s="195"/>
      <c r="E32" s="195"/>
      <c r="F32" s="90">
        <v>6711</v>
      </c>
      <c r="G32" s="90">
        <v>7337</v>
      </c>
      <c r="H32" s="90">
        <v>1912</v>
      </c>
      <c r="I32" s="90">
        <v>940</v>
      </c>
      <c r="J32" s="90">
        <v>502</v>
      </c>
      <c r="K32" s="90">
        <v>1380</v>
      </c>
      <c r="L32" s="90">
        <v>2825</v>
      </c>
      <c r="M32" s="90">
        <v>131</v>
      </c>
      <c r="N32" s="90">
        <v>13046</v>
      </c>
      <c r="O32" s="90">
        <v>20725</v>
      </c>
      <c r="P32" s="90">
        <v>1862</v>
      </c>
      <c r="Q32" s="90">
        <v>1058</v>
      </c>
      <c r="R32" s="90">
        <v>625</v>
      </c>
      <c r="S32" s="90">
        <v>1938</v>
      </c>
      <c r="T32" s="90">
        <v>2476</v>
      </c>
      <c r="U32" s="90">
        <v>724</v>
      </c>
      <c r="V32" s="90">
        <v>64192</v>
      </c>
    </row>
    <row r="33" spans="1:22" ht="24" customHeight="1">
      <c r="A33" s="168"/>
      <c r="B33" s="195" t="s">
        <v>161</v>
      </c>
      <c r="C33" s="195"/>
      <c r="D33" s="195"/>
      <c r="E33" s="195"/>
      <c r="F33" s="90">
        <v>26156</v>
      </c>
      <c r="G33" s="90">
        <v>21142</v>
      </c>
      <c r="H33" s="90">
        <v>2907</v>
      </c>
      <c r="I33" s="90">
        <v>2002</v>
      </c>
      <c r="J33" s="90">
        <v>645</v>
      </c>
      <c r="K33" s="90">
        <v>938</v>
      </c>
      <c r="L33" s="90">
        <v>9721</v>
      </c>
      <c r="M33" s="90">
        <v>922</v>
      </c>
      <c r="N33" s="90">
        <v>14113</v>
      </c>
      <c r="O33" s="90">
        <v>16255</v>
      </c>
      <c r="P33" s="90">
        <v>5107</v>
      </c>
      <c r="Q33" s="90">
        <v>1642</v>
      </c>
      <c r="R33" s="90">
        <v>4760</v>
      </c>
      <c r="S33" s="90">
        <v>1464</v>
      </c>
      <c r="T33" s="90">
        <v>3653</v>
      </c>
      <c r="U33" s="90">
        <v>1971</v>
      </c>
      <c r="V33" s="90">
        <v>113398</v>
      </c>
    </row>
    <row r="34" spans="1:22">
      <c r="A34" s="168"/>
      <c r="B34" s="12"/>
      <c r="C34" s="12" t="s">
        <v>86</v>
      </c>
      <c r="D34" s="12"/>
      <c r="E34" s="12"/>
      <c r="F34" s="91">
        <v>12037</v>
      </c>
      <c r="G34" s="91">
        <v>15301</v>
      </c>
      <c r="H34" s="91">
        <v>1859</v>
      </c>
      <c r="I34" s="91">
        <v>1144</v>
      </c>
      <c r="J34" s="91">
        <v>385</v>
      </c>
      <c r="K34" s="91">
        <v>690</v>
      </c>
      <c r="L34" s="91">
        <v>6442</v>
      </c>
      <c r="M34" s="91">
        <v>445</v>
      </c>
      <c r="N34" s="91">
        <v>9962</v>
      </c>
      <c r="O34" s="91">
        <v>8706</v>
      </c>
      <c r="P34" s="91">
        <v>3324</v>
      </c>
      <c r="Q34" s="91">
        <v>1376</v>
      </c>
      <c r="R34" s="91">
        <v>2368</v>
      </c>
      <c r="S34" s="91">
        <v>1032</v>
      </c>
      <c r="T34" s="91">
        <v>1743</v>
      </c>
      <c r="U34" s="91">
        <v>1169</v>
      </c>
      <c r="V34" s="91">
        <v>67983</v>
      </c>
    </row>
    <row r="35" spans="1:22">
      <c r="A35" s="168"/>
      <c r="B35" s="12"/>
      <c r="C35" s="12" t="s">
        <v>87</v>
      </c>
      <c r="D35" s="12"/>
      <c r="E35" s="12"/>
      <c r="F35" s="91">
        <v>14119</v>
      </c>
      <c r="G35" s="91">
        <v>5841</v>
      </c>
      <c r="H35" s="91">
        <v>1048</v>
      </c>
      <c r="I35" s="91">
        <v>858</v>
      </c>
      <c r="J35" s="91">
        <v>260</v>
      </c>
      <c r="K35" s="91">
        <v>248</v>
      </c>
      <c r="L35" s="91">
        <v>3279</v>
      </c>
      <c r="M35" s="91">
        <v>477</v>
      </c>
      <c r="N35" s="91">
        <v>4151</v>
      </c>
      <c r="O35" s="91">
        <v>7549</v>
      </c>
      <c r="P35" s="91">
        <v>1783</v>
      </c>
      <c r="Q35" s="91">
        <v>266</v>
      </c>
      <c r="R35" s="91">
        <v>2392</v>
      </c>
      <c r="S35" s="91">
        <v>432</v>
      </c>
      <c r="T35" s="91">
        <v>1910</v>
      </c>
      <c r="U35" s="91">
        <v>802</v>
      </c>
      <c r="V35" s="91">
        <v>45415</v>
      </c>
    </row>
    <row r="36" spans="1:22" ht="19.5" customHeight="1">
      <c r="A36" s="168"/>
      <c r="B36" s="197" t="s">
        <v>121</v>
      </c>
      <c r="C36" s="197"/>
      <c r="D36" s="197"/>
      <c r="E36" s="197"/>
      <c r="F36" s="197"/>
      <c r="G36" s="197"/>
      <c r="H36" s="197"/>
      <c r="I36" s="197"/>
      <c r="J36" s="197"/>
      <c r="K36" s="197"/>
      <c r="L36" s="197"/>
      <c r="M36" s="197"/>
      <c r="N36" s="197"/>
      <c r="O36" s="197"/>
      <c r="P36" s="197"/>
      <c r="Q36" s="197"/>
      <c r="R36" s="197"/>
      <c r="S36" s="197"/>
      <c r="T36" s="197"/>
      <c r="U36" s="197"/>
      <c r="V36" s="197"/>
    </row>
    <row r="37" spans="1:22">
      <c r="A37" s="168"/>
      <c r="B37" s="84" t="s">
        <v>83</v>
      </c>
      <c r="C37" s="12"/>
      <c r="D37" s="12"/>
      <c r="E37" s="12"/>
      <c r="F37" s="88">
        <v>133374</v>
      </c>
      <c r="G37" s="88">
        <v>148623</v>
      </c>
      <c r="H37" s="88">
        <v>36379</v>
      </c>
      <c r="I37" s="88">
        <v>25225</v>
      </c>
      <c r="J37" s="88">
        <v>7920</v>
      </c>
      <c r="K37" s="88">
        <v>19534</v>
      </c>
      <c r="L37" s="88">
        <v>71568</v>
      </c>
      <c r="M37" s="88">
        <v>14157</v>
      </c>
      <c r="N37" s="88">
        <v>103282</v>
      </c>
      <c r="O37" s="88">
        <v>223551</v>
      </c>
      <c r="P37" s="88">
        <v>43832</v>
      </c>
      <c r="Q37" s="88">
        <v>12181</v>
      </c>
      <c r="R37" s="88">
        <v>37675</v>
      </c>
      <c r="S37" s="88">
        <v>20751</v>
      </c>
      <c r="T37" s="88">
        <v>31918</v>
      </c>
      <c r="U37" s="88">
        <v>19749</v>
      </c>
      <c r="V37" s="88">
        <v>949719</v>
      </c>
    </row>
    <row r="38" spans="1:22" ht="18.75" customHeight="1">
      <c r="A38" s="168"/>
      <c r="B38" s="195" t="s">
        <v>206</v>
      </c>
      <c r="C38" s="195"/>
      <c r="D38" s="195"/>
      <c r="E38" s="195"/>
      <c r="F38" s="90">
        <v>22365</v>
      </c>
      <c r="G38" s="90">
        <v>29991</v>
      </c>
      <c r="H38" s="90">
        <v>6180</v>
      </c>
      <c r="I38" s="90">
        <v>4374</v>
      </c>
      <c r="J38" s="90">
        <v>2299</v>
      </c>
      <c r="K38" s="90">
        <v>3960</v>
      </c>
      <c r="L38" s="90">
        <v>11190</v>
      </c>
      <c r="M38" s="90">
        <v>2297</v>
      </c>
      <c r="N38" s="90">
        <v>14898</v>
      </c>
      <c r="O38" s="90">
        <v>44532</v>
      </c>
      <c r="P38" s="90">
        <v>8254</v>
      </c>
      <c r="Q38" s="90">
        <v>3198</v>
      </c>
      <c r="R38" s="90">
        <v>4876</v>
      </c>
      <c r="S38" s="90">
        <v>2958</v>
      </c>
      <c r="T38" s="90">
        <v>6799</v>
      </c>
      <c r="U38" s="90">
        <v>3619</v>
      </c>
      <c r="V38" s="90">
        <v>171790</v>
      </c>
    </row>
    <row r="39" spans="1:22" ht="25.5" customHeight="1">
      <c r="A39" s="168"/>
      <c r="B39" s="195" t="s">
        <v>160</v>
      </c>
      <c r="C39" s="195"/>
      <c r="D39" s="195"/>
      <c r="E39" s="195"/>
      <c r="F39" s="90">
        <v>55677</v>
      </c>
      <c r="G39" s="90">
        <v>63942</v>
      </c>
      <c r="H39" s="90">
        <v>13363</v>
      </c>
      <c r="I39" s="90">
        <v>10301</v>
      </c>
      <c r="J39" s="90">
        <v>2648</v>
      </c>
      <c r="K39" s="90">
        <v>5510</v>
      </c>
      <c r="L39" s="90">
        <v>31684</v>
      </c>
      <c r="M39" s="90">
        <v>6614</v>
      </c>
      <c r="N39" s="90">
        <v>49545</v>
      </c>
      <c r="O39" s="90">
        <v>94044</v>
      </c>
      <c r="P39" s="90">
        <v>17613</v>
      </c>
      <c r="Q39" s="90">
        <v>4289</v>
      </c>
      <c r="R39" s="90">
        <v>18308</v>
      </c>
      <c r="S39" s="90">
        <v>11550</v>
      </c>
      <c r="T39" s="90">
        <v>12085</v>
      </c>
      <c r="U39" s="90">
        <v>9142</v>
      </c>
      <c r="V39" s="90">
        <v>406315</v>
      </c>
    </row>
    <row r="40" spans="1:22" ht="24.75" customHeight="1">
      <c r="A40" s="168"/>
      <c r="B40" s="195" t="s">
        <v>161</v>
      </c>
      <c r="C40" s="195"/>
      <c r="D40" s="195"/>
      <c r="E40" s="195"/>
      <c r="F40" s="90">
        <v>55332</v>
      </c>
      <c r="G40" s="90">
        <v>54690</v>
      </c>
      <c r="H40" s="90">
        <v>16836</v>
      </c>
      <c r="I40" s="90">
        <v>10550</v>
      </c>
      <c r="J40" s="90">
        <v>2973</v>
      </c>
      <c r="K40" s="90">
        <v>10064</v>
      </c>
      <c r="L40" s="90">
        <v>28694</v>
      </c>
      <c r="M40" s="90">
        <v>5246</v>
      </c>
      <c r="N40" s="90">
        <v>38839</v>
      </c>
      <c r="O40" s="90">
        <v>84975</v>
      </c>
      <c r="P40" s="90">
        <v>17965</v>
      </c>
      <c r="Q40" s="90">
        <v>4694</v>
      </c>
      <c r="R40" s="90">
        <v>14491</v>
      </c>
      <c r="S40" s="90">
        <v>6243</v>
      </c>
      <c r="T40" s="90">
        <v>13034</v>
      </c>
      <c r="U40" s="90">
        <v>6988</v>
      </c>
      <c r="V40" s="90">
        <v>371614</v>
      </c>
    </row>
    <row r="41" spans="1:22">
      <c r="A41" s="168"/>
      <c r="B41" s="12"/>
      <c r="C41" s="12" t="s">
        <v>86</v>
      </c>
      <c r="D41" s="12"/>
      <c r="E41" s="12"/>
      <c r="F41" s="91">
        <v>12404</v>
      </c>
      <c r="G41" s="91">
        <v>15301</v>
      </c>
      <c r="H41" s="91">
        <v>1859</v>
      </c>
      <c r="I41" s="91">
        <v>1172</v>
      </c>
      <c r="J41" s="91">
        <v>385</v>
      </c>
      <c r="K41" s="91">
        <v>690</v>
      </c>
      <c r="L41" s="91">
        <v>6565</v>
      </c>
      <c r="M41" s="91">
        <v>445</v>
      </c>
      <c r="N41" s="91">
        <v>9962</v>
      </c>
      <c r="O41" s="91">
        <v>8767</v>
      </c>
      <c r="P41" s="91">
        <v>3324</v>
      </c>
      <c r="Q41" s="91">
        <v>1376</v>
      </c>
      <c r="R41" s="91">
        <v>2368</v>
      </c>
      <c r="S41" s="91">
        <v>1032</v>
      </c>
      <c r="T41" s="91">
        <v>1743</v>
      </c>
      <c r="U41" s="91">
        <v>1169</v>
      </c>
      <c r="V41" s="91">
        <v>68562</v>
      </c>
    </row>
    <row r="42" spans="1:22">
      <c r="A42" s="168"/>
      <c r="B42" s="13"/>
      <c r="C42" s="13" t="s">
        <v>87</v>
      </c>
      <c r="D42" s="13"/>
      <c r="E42" s="13"/>
      <c r="F42" s="91">
        <v>42928</v>
      </c>
      <c r="G42" s="91">
        <v>39389</v>
      </c>
      <c r="H42" s="91">
        <v>14977</v>
      </c>
      <c r="I42" s="91">
        <v>9378</v>
      </c>
      <c r="J42" s="91">
        <v>2588</v>
      </c>
      <c r="K42" s="91">
        <v>9374</v>
      </c>
      <c r="L42" s="91">
        <v>22129</v>
      </c>
      <c r="M42" s="91">
        <v>4801</v>
      </c>
      <c r="N42" s="91">
        <v>28877</v>
      </c>
      <c r="O42" s="91">
        <v>76208</v>
      </c>
      <c r="P42" s="91">
        <v>14641</v>
      </c>
      <c r="Q42" s="91">
        <v>3318</v>
      </c>
      <c r="R42" s="91">
        <v>12123</v>
      </c>
      <c r="S42" s="91">
        <v>5211</v>
      </c>
      <c r="T42" s="91">
        <v>11291</v>
      </c>
      <c r="U42" s="91">
        <v>5819</v>
      </c>
      <c r="V42" s="91">
        <v>303052</v>
      </c>
    </row>
    <row r="43" spans="1:22" ht="21" customHeight="1">
      <c r="A43" s="168"/>
      <c r="B43" s="197" t="s">
        <v>170</v>
      </c>
      <c r="C43" s="197"/>
      <c r="D43" s="197"/>
      <c r="E43" s="197"/>
      <c r="F43" s="197"/>
      <c r="G43" s="197"/>
      <c r="H43" s="197"/>
      <c r="I43" s="197"/>
      <c r="J43" s="197"/>
      <c r="K43" s="197"/>
      <c r="L43" s="197"/>
      <c r="M43" s="197"/>
      <c r="N43" s="197"/>
      <c r="O43" s="197"/>
      <c r="P43" s="197"/>
      <c r="Q43" s="197"/>
      <c r="R43" s="197"/>
      <c r="S43" s="197"/>
      <c r="T43" s="197"/>
      <c r="U43" s="197"/>
      <c r="V43" s="197"/>
    </row>
    <row r="44" spans="1:22" ht="41.25" customHeight="1">
      <c r="A44" s="168"/>
      <c r="B44" s="199" t="s">
        <v>204</v>
      </c>
      <c r="C44" s="199"/>
      <c r="D44" s="199"/>
      <c r="E44" s="199"/>
      <c r="F44" s="95">
        <v>6.9392366421369776</v>
      </c>
      <c r="G44" s="95">
        <v>6.1318947414046265</v>
      </c>
      <c r="H44" s="95">
        <v>10.029876736577442</v>
      </c>
      <c r="I44" s="95">
        <v>7.9843332123784219</v>
      </c>
      <c r="J44" s="95">
        <v>10.953684402579643</v>
      </c>
      <c r="K44" s="95">
        <v>6.646289208535018</v>
      </c>
      <c r="L44" s="95">
        <v>6.165831902359324</v>
      </c>
      <c r="M44" s="95">
        <v>9.9714627425018989</v>
      </c>
      <c r="N44" s="95">
        <v>9.0241937010590725</v>
      </c>
      <c r="O44" s="95">
        <v>7.8980662174125875</v>
      </c>
      <c r="P44" s="95">
        <v>8.8663884974649427</v>
      </c>
      <c r="Q44" s="95">
        <v>10.289513853109934</v>
      </c>
      <c r="R44" s="95">
        <v>8.2051981881551193</v>
      </c>
      <c r="S44" s="95">
        <v>14.315734901106234</v>
      </c>
      <c r="T44" s="95">
        <v>9.6469830247409831</v>
      </c>
      <c r="U44" s="95">
        <v>10.132305471018855</v>
      </c>
      <c r="V44" s="95">
        <v>7.9560943993094106</v>
      </c>
    </row>
    <row r="45" spans="1:22" ht="16.5" customHeight="1">
      <c r="A45" s="168"/>
      <c r="B45" s="89" t="s">
        <v>207</v>
      </c>
      <c r="F45" s="96">
        <v>20.630911714051592</v>
      </c>
      <c r="G45" s="96">
        <v>24.87381206368029</v>
      </c>
      <c r="H45" s="96">
        <v>19.057185921959032</v>
      </c>
      <c r="I45" s="96">
        <v>18.753842990872727</v>
      </c>
      <c r="J45" s="96">
        <v>33.880107519595754</v>
      </c>
      <c r="K45" s="96">
        <v>22.604069099935884</v>
      </c>
      <c r="L45" s="96">
        <v>18.648801708446964</v>
      </c>
      <c r="M45" s="96">
        <v>16.302184965100757</v>
      </c>
      <c r="N45" s="96">
        <v>19.420118951919019</v>
      </c>
      <c r="O45" s="96">
        <v>25.816877789340179</v>
      </c>
      <c r="P45" s="96">
        <v>21.699972227596955</v>
      </c>
      <c r="Q45" s="96">
        <v>30.258209301882939</v>
      </c>
      <c r="R45" s="96">
        <v>13.136891147643862</v>
      </c>
      <c r="S45" s="96">
        <v>15.688350740640823</v>
      </c>
      <c r="T45" s="96">
        <v>24.13533463065211</v>
      </c>
      <c r="U45" s="96">
        <v>19.174627382092449</v>
      </c>
      <c r="V45" s="96">
        <v>21.870765493497661</v>
      </c>
    </row>
    <row r="46" spans="1:22" ht="29.25" customHeight="1">
      <c r="A46" s="168"/>
      <c r="B46" s="199" t="s">
        <v>90</v>
      </c>
      <c r="C46" s="199"/>
      <c r="D46" s="199"/>
      <c r="E46" s="199"/>
      <c r="F46" s="96">
        <v>51.345776551308283</v>
      </c>
      <c r="G46" s="96">
        <v>52.433726679744176</v>
      </c>
      <c r="H46" s="96">
        <v>41.185676894335742</v>
      </c>
      <c r="I46" s="96">
        <v>43.933999377972278</v>
      </c>
      <c r="J46" s="96">
        <v>38.45580681052229</v>
      </c>
      <c r="K46" s="96">
        <v>31.076398271386541</v>
      </c>
      <c r="L46" s="96">
        <v>52.448060580884281</v>
      </c>
      <c r="M46" s="96">
        <v>46.932161578771911</v>
      </c>
      <c r="N46" s="96">
        <v>63.404337988266356</v>
      </c>
      <c r="O46" s="96">
        <v>54.727623488540857</v>
      </c>
      <c r="P46" s="96">
        <v>45.831263878635113</v>
      </c>
      <c r="Q46" s="96">
        <v>36.350846991482676</v>
      </c>
      <c r="R46" s="96">
        <v>49.104949930917435</v>
      </c>
      <c r="S46" s="96">
        <v>61.429221771451466</v>
      </c>
      <c r="T46" s="96">
        <v>42.473241009038894</v>
      </c>
      <c r="U46" s="96">
        <v>48.396657068173312</v>
      </c>
      <c r="V46" s="96">
        <v>51.493942225505954</v>
      </c>
    </row>
    <row r="47" spans="1:22" ht="27" customHeight="1">
      <c r="A47" s="168"/>
      <c r="B47" s="195" t="s">
        <v>161</v>
      </c>
      <c r="C47" s="195"/>
      <c r="D47" s="195"/>
      <c r="E47" s="195"/>
      <c r="F47" s="96">
        <v>48.760542592875765</v>
      </c>
      <c r="G47" s="96">
        <v>43.853348293395278</v>
      </c>
      <c r="H47" s="96">
        <v>52.203531275296001</v>
      </c>
      <c r="I47" s="96">
        <v>47.405798883309572</v>
      </c>
      <c r="J47" s="96">
        <v>41.873498425928588</v>
      </c>
      <c r="K47" s="96">
        <v>57.627342086179809</v>
      </c>
      <c r="L47" s="96">
        <v>45.652499422594573</v>
      </c>
      <c r="M47" s="96">
        <v>38.570239350763892</v>
      </c>
      <c r="N47" s="96">
        <v>48.30753264663371</v>
      </c>
      <c r="O47" s="96">
        <v>48.873517374979073</v>
      </c>
      <c r="P47" s="96">
        <v>45.325360204196656</v>
      </c>
      <c r="Q47" s="96">
        <v>51.345505441365518</v>
      </c>
      <c r="R47" s="96">
        <v>39.778321390518776</v>
      </c>
      <c r="S47" s="96">
        <v>33.953452524503966</v>
      </c>
      <c r="T47" s="96">
        <v>45.407467068384406</v>
      </c>
      <c r="U47" s="96">
        <v>37.779149322355323</v>
      </c>
      <c r="V47" s="96">
        <v>46.540023313599967</v>
      </c>
    </row>
    <row r="48" spans="1:22">
      <c r="A48" s="168"/>
      <c r="B48" s="12"/>
      <c r="C48" s="12" t="s">
        <v>86</v>
      </c>
      <c r="D48" s="12"/>
      <c r="E48" s="12"/>
      <c r="F48" s="93">
        <v>10.411022644263429</v>
      </c>
      <c r="G48" s="93">
        <v>11.861447747224839</v>
      </c>
      <c r="H48" s="93">
        <v>5.2959800872123726</v>
      </c>
      <c r="I48" s="93">
        <v>5.2860988447808728</v>
      </c>
      <c r="J48" s="93">
        <v>5.0320172714084999</v>
      </c>
      <c r="K48" s="93">
        <v>3.5432119610589372</v>
      </c>
      <c r="L48" s="93">
        <v>10.385364873137693</v>
      </c>
      <c r="M48" s="93">
        <v>3.2239837541189589</v>
      </c>
      <c r="N48" s="93">
        <v>12.032048706245639</v>
      </c>
      <c r="O48" s="93">
        <v>4.8975632918536682</v>
      </c>
      <c r="P48" s="93">
        <v>7.8323536510998544</v>
      </c>
      <c r="Q48" s="93">
        <v>15.208300964371396</v>
      </c>
      <c r="R48" s="93">
        <v>6.4514407949258228</v>
      </c>
      <c r="S48" s="93">
        <v>5.6130216989846025</v>
      </c>
      <c r="T48" s="93">
        <v>5.8980475877662597</v>
      </c>
      <c r="U48" s="93">
        <v>6.1433745576572782</v>
      </c>
      <c r="V48" s="93">
        <v>8.2784838681536517</v>
      </c>
    </row>
    <row r="49" spans="1:22">
      <c r="A49" s="168"/>
      <c r="B49" s="13"/>
      <c r="C49" s="13" t="s">
        <v>87</v>
      </c>
      <c r="D49" s="13"/>
      <c r="E49" s="13"/>
      <c r="F49" s="94">
        <v>38.34951994861234</v>
      </c>
      <c r="G49" s="94">
        <v>31.991900546170442</v>
      </c>
      <c r="H49" s="94">
        <v>46.90755118808363</v>
      </c>
      <c r="I49" s="94">
        <v>42.119700038528698</v>
      </c>
      <c r="J49" s="94">
        <v>36.841481154520089</v>
      </c>
      <c r="K49" s="94">
        <v>54.084130125120872</v>
      </c>
      <c r="L49" s="94">
        <v>35.267134549456884</v>
      </c>
      <c r="M49" s="94">
        <v>35.34625559664493</v>
      </c>
      <c r="N49" s="94">
        <v>36.275483940388071</v>
      </c>
      <c r="O49" s="94">
        <v>43.975954083125409</v>
      </c>
      <c r="P49" s="94">
        <v>37.493006553096805</v>
      </c>
      <c r="Q49" s="94">
        <v>36.137204476994121</v>
      </c>
      <c r="R49" s="94">
        <v>33.326880595592954</v>
      </c>
      <c r="S49" s="94">
        <v>28.340430825519366</v>
      </c>
      <c r="T49" s="94">
        <v>39.509419480618149</v>
      </c>
      <c r="U49" s="94">
        <v>31.635774764698049</v>
      </c>
      <c r="V49" s="94">
        <v>38.261539445446317</v>
      </c>
    </row>
    <row r="50" spans="1:22" ht="16.5" customHeight="1">
      <c r="B50" s="110" t="s">
        <v>111</v>
      </c>
      <c r="C50" s="194" t="s">
        <v>184</v>
      </c>
      <c r="D50" s="171"/>
      <c r="E50" s="171"/>
      <c r="F50" s="171"/>
      <c r="G50" s="171"/>
      <c r="H50" s="171"/>
      <c r="I50" s="171"/>
      <c r="J50" s="171"/>
      <c r="K50" s="171"/>
      <c r="L50" s="171"/>
      <c r="M50" s="188"/>
      <c r="N50" s="188"/>
      <c r="O50" s="188"/>
      <c r="P50" s="188"/>
      <c r="Q50" s="188"/>
      <c r="R50" s="188"/>
      <c r="S50" s="188"/>
      <c r="T50" s="188"/>
      <c r="U50" s="188"/>
      <c r="V50" s="188"/>
    </row>
  </sheetData>
  <mergeCells count="25">
    <mergeCell ref="C50:V50"/>
    <mergeCell ref="B13:E13"/>
    <mergeCell ref="B16:V16"/>
    <mergeCell ref="B47:E47"/>
    <mergeCell ref="B31:E31"/>
    <mergeCell ref="B32:E32"/>
    <mergeCell ref="B33:E33"/>
    <mergeCell ref="B39:E39"/>
    <mergeCell ref="B40:E40"/>
    <mergeCell ref="A1:A28"/>
    <mergeCell ref="A29:A49"/>
    <mergeCell ref="B1:E1"/>
    <mergeCell ref="B5:E5"/>
    <mergeCell ref="C9:E9"/>
    <mergeCell ref="C10:E10"/>
    <mergeCell ref="B6:V6"/>
    <mergeCell ref="B36:V36"/>
    <mergeCell ref="B29:V29"/>
    <mergeCell ref="B43:V43"/>
    <mergeCell ref="B8:E8"/>
    <mergeCell ref="B11:E11"/>
    <mergeCell ref="B12:E12"/>
    <mergeCell ref="B44:E44"/>
    <mergeCell ref="B46:E46"/>
    <mergeCell ref="B38:E38"/>
  </mergeCells>
  <printOptions verticalCentered="1"/>
  <pageMargins left="0.25" right="0.25" top="0.75" bottom="0.75" header="0.3" footer="0.3"/>
  <pageSetup paperSize="9" scale="97" orientation="landscape" r:id="rId1"/>
  <rowBreaks count="1" manualBreakCount="1">
    <brk id="28" max="16383" man="1"/>
  </row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26</vt:i4>
      </vt:variant>
      <vt:variant>
        <vt:lpstr>Benannte Bereiche</vt:lpstr>
      </vt:variant>
      <vt:variant>
        <vt:i4>38</vt:i4>
      </vt:variant>
    </vt:vector>
  </HeadingPairs>
  <TitlesOfParts>
    <vt:vector size="64" baseType="lpstr">
      <vt:lpstr>Deckblatt</vt:lpstr>
      <vt:lpstr>Gliederung SKL</vt:lpstr>
      <vt:lpstr>Leer</vt:lpstr>
      <vt:lpstr>Z1</vt:lpstr>
      <vt:lpstr>Leer 2</vt:lpstr>
      <vt:lpstr>Inhaltsverzeichnis Z</vt:lpstr>
      <vt:lpstr>Z1.1</vt:lpstr>
      <vt:lpstr>Z1.2</vt:lpstr>
      <vt:lpstr>Z2.1</vt:lpstr>
      <vt:lpstr>Z2.2</vt:lpstr>
      <vt:lpstr>Z3.1</vt:lpstr>
      <vt:lpstr>Z3.2</vt:lpstr>
      <vt:lpstr>Z4.1</vt:lpstr>
      <vt:lpstr>Z4.2</vt:lpstr>
      <vt:lpstr>Z5.1</vt:lpstr>
      <vt:lpstr>Z5.2</vt:lpstr>
      <vt:lpstr>Z6.1</vt:lpstr>
      <vt:lpstr>Z6.2 </vt:lpstr>
      <vt:lpstr>Z7.1</vt:lpstr>
      <vt:lpstr>Z7.2</vt:lpstr>
      <vt:lpstr>Z8.1</vt:lpstr>
      <vt:lpstr>Z8.2</vt:lpstr>
      <vt:lpstr>Z9.1</vt:lpstr>
      <vt:lpstr>Z9.2</vt:lpstr>
      <vt:lpstr>Z10.1</vt:lpstr>
      <vt:lpstr>Z10.2</vt:lpstr>
      <vt:lpstr>Deckblatt!Druckbereich</vt:lpstr>
      <vt:lpstr>'Gliederung SKL'!Druckbereich</vt:lpstr>
      <vt:lpstr>'Inhaltsverzeichnis Z'!Druckbereich</vt:lpstr>
      <vt:lpstr>Leer!Druckbereich</vt:lpstr>
      <vt:lpstr>'Leer 2'!Druckbereich</vt:lpstr>
      <vt:lpstr>'Z1'!Druckbereich</vt:lpstr>
      <vt:lpstr>Z1.1!Druckbereich</vt:lpstr>
      <vt:lpstr>Z2.2!Druckbereich</vt:lpstr>
      <vt:lpstr>Z3.1!Druckbereich</vt:lpstr>
      <vt:lpstr>Z3.2!Druckbereich</vt:lpstr>
      <vt:lpstr>Z4.1!Druckbereich</vt:lpstr>
      <vt:lpstr>Z4.2!Druckbereich</vt:lpstr>
      <vt:lpstr>Z5.1!Druckbereich</vt:lpstr>
      <vt:lpstr>Z6.1!Druckbereich</vt:lpstr>
      <vt:lpstr>Z7.1!Druckbereich</vt:lpstr>
      <vt:lpstr>Z8.1!Druckbereich</vt:lpstr>
      <vt:lpstr>Z9.1!Druckbereich</vt:lpstr>
      <vt:lpstr>Z9.2!Druckbereich</vt:lpstr>
      <vt:lpstr>Z1.1!Drucktitel</vt:lpstr>
      <vt:lpstr>Z1.2!Drucktitel</vt:lpstr>
      <vt:lpstr>Z10.1!Drucktitel</vt:lpstr>
      <vt:lpstr>Z10.2!Drucktitel</vt:lpstr>
      <vt:lpstr>Z2.1!Drucktitel</vt:lpstr>
      <vt:lpstr>Z2.2!Drucktitel</vt:lpstr>
      <vt:lpstr>Z3.1!Drucktitel</vt:lpstr>
      <vt:lpstr>Z3.2!Drucktitel</vt:lpstr>
      <vt:lpstr>Z4.1!Drucktitel</vt:lpstr>
      <vt:lpstr>Z4.2!Drucktitel</vt:lpstr>
      <vt:lpstr>Z5.1!Drucktitel</vt:lpstr>
      <vt:lpstr>Z5.2!Drucktitel</vt:lpstr>
      <vt:lpstr>Z6.1!Drucktitel</vt:lpstr>
      <vt:lpstr>'Z6.2 '!Drucktitel</vt:lpstr>
      <vt:lpstr>Z7.1!Drucktitel</vt:lpstr>
      <vt:lpstr>Z7.2!Drucktitel</vt:lpstr>
      <vt:lpstr>Z8.1!Drucktitel</vt:lpstr>
      <vt:lpstr>Z8.2!Drucktitel</vt:lpstr>
      <vt:lpstr>Z9.1!Drucktitel</vt:lpstr>
      <vt:lpstr>Z9.2!Drucktitel</vt:lpstr>
    </vt:vector>
  </TitlesOfParts>
  <Company>KMK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Henselin</dc:creator>
  <cp:lastModifiedBy>Henselin, Paula</cp:lastModifiedBy>
  <cp:lastPrinted>2026-04-08T08:51:59Z</cp:lastPrinted>
  <dcterms:created xsi:type="dcterms:W3CDTF">2012-08-01T10:52:18Z</dcterms:created>
  <dcterms:modified xsi:type="dcterms:W3CDTF">2026-04-08T08:52:11Z</dcterms:modified>
</cp:coreProperties>
</file>